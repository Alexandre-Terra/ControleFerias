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ian\Downloads\"/>
    </mc:Choice>
  </mc:AlternateContent>
  <xr:revisionPtr revIDLastSave="0" documentId="13_ncr:1_{0A3D811D-C201-477A-9200-DEBB7766C1ED}" xr6:coauthVersionLast="47" xr6:coauthVersionMax="47" xr10:uidLastSave="{00000000-0000-0000-0000-000000000000}"/>
  <bookViews>
    <workbookView xWindow="-110" yWindow="-110" windowWidth="19420" windowHeight="11500" tabRatio="609" activeTab="2" xr2:uid="{00000000-000D-0000-FFFF-FFFF00000000}"/>
  </bookViews>
  <sheets>
    <sheet name="DASHBOARD" sheetId="2" r:id="rId1"/>
    <sheet name="Resumo" sheetId="3" state="hidden" r:id="rId2"/>
    <sheet name="AMP Comercio" sheetId="5" r:id="rId3"/>
    <sheet name="Torque Master" sheetId="4" r:id="rId4"/>
    <sheet name="Auto Mec" sheetId="6" r:id="rId5"/>
  </sheets>
  <definedNames>
    <definedName name="_xlnm._FilterDatabase" localSheetId="3" hidden="1">'Torque Master'!$A$6:$AM$78</definedName>
  </definedNames>
  <calcPr calcId="181029" forceFullCalc="1"/>
</workbook>
</file>

<file path=xl/calcChain.xml><?xml version="1.0" encoding="utf-8"?>
<calcChain xmlns="http://schemas.openxmlformats.org/spreadsheetml/2006/main">
  <c r="AG48" i="6" l="1"/>
  <c r="AG47" i="6"/>
  <c r="AG46" i="6"/>
  <c r="AG45" i="6"/>
  <c r="AG44" i="6"/>
  <c r="AG43" i="6"/>
  <c r="AG42" i="6"/>
  <c r="AG41" i="6"/>
  <c r="AG40" i="6"/>
  <c r="AG39" i="6"/>
  <c r="AG38" i="6"/>
  <c r="AG37" i="6"/>
  <c r="AG36" i="6"/>
  <c r="AG35" i="6"/>
  <c r="AG34" i="6"/>
  <c r="AG33" i="6"/>
  <c r="AG32" i="6"/>
  <c r="AG31" i="6"/>
  <c r="AG30" i="6"/>
  <c r="AG29" i="6"/>
  <c r="AG28" i="6"/>
  <c r="AG27" i="6"/>
  <c r="O27" i="6"/>
  <c r="N27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D3" i="6"/>
  <c r="O40" i="6" s="1"/>
  <c r="AG8" i="5"/>
  <c r="D3" i="5"/>
  <c r="O8" i="5" s="1"/>
  <c r="D3" i="4"/>
  <c r="AC68" i="4" s="1"/>
  <c r="O10" i="6" l="1"/>
  <c r="N25" i="6"/>
  <c r="O30" i="6"/>
  <c r="N45" i="6"/>
  <c r="N31" i="6"/>
  <c r="O45" i="6"/>
  <c r="N26" i="6"/>
  <c r="O31" i="6"/>
  <c r="O26" i="6"/>
  <c r="O39" i="6"/>
  <c r="N46" i="6"/>
  <c r="N21" i="6"/>
  <c r="O15" i="6"/>
  <c r="N22" i="6"/>
  <c r="O41" i="6"/>
  <c r="N35" i="6"/>
  <c r="O35" i="6"/>
  <c r="N17" i="6"/>
  <c r="N30" i="6"/>
  <c r="O17" i="6"/>
  <c r="N11" i="6"/>
  <c r="O25" i="6"/>
  <c r="O11" i="6"/>
  <c r="N39" i="6"/>
  <c r="O21" i="6"/>
  <c r="N15" i="6"/>
  <c r="O34" i="6"/>
  <c r="N41" i="6"/>
  <c r="AC21" i="4"/>
  <c r="AC35" i="4"/>
  <c r="AC42" i="4"/>
  <c r="AC48" i="4"/>
  <c r="AC55" i="4"/>
  <c r="AC69" i="4"/>
  <c r="AC14" i="4"/>
  <c r="AC28" i="4"/>
  <c r="AC49" i="4"/>
  <c r="O49" i="4" s="1"/>
  <c r="AC62" i="4"/>
  <c r="AC76" i="4"/>
  <c r="AC11" i="4"/>
  <c r="AC24" i="4"/>
  <c r="AC45" i="4"/>
  <c r="AC66" i="4"/>
  <c r="AG66" i="4" s="1"/>
  <c r="AH66" i="4" s="1"/>
  <c r="N13" i="6"/>
  <c r="O22" i="6"/>
  <c r="N37" i="6"/>
  <c r="O46" i="6"/>
  <c r="AC25" i="4"/>
  <c r="O25" i="4" s="1"/>
  <c r="AC38" i="4"/>
  <c r="AC52" i="4"/>
  <c r="N18" i="6"/>
  <c r="N23" i="6"/>
  <c r="O42" i="6"/>
  <c r="N47" i="6"/>
  <c r="AC12" i="4"/>
  <c r="AC19" i="4"/>
  <c r="AC33" i="4"/>
  <c r="AC47" i="4"/>
  <c r="AC54" i="4"/>
  <c r="AC60" i="4"/>
  <c r="AC67" i="4"/>
  <c r="O9" i="6"/>
  <c r="N14" i="6"/>
  <c r="O23" i="6"/>
  <c r="O33" i="6"/>
  <c r="N38" i="6"/>
  <c r="O47" i="6"/>
  <c r="AC37" i="4"/>
  <c r="O37" i="4" s="1"/>
  <c r="N43" i="6"/>
  <c r="AC9" i="4"/>
  <c r="AC23" i="4"/>
  <c r="AC30" i="4"/>
  <c r="AG30" i="4" s="1"/>
  <c r="AH30" i="4" s="1"/>
  <c r="AC36" i="4"/>
  <c r="AC43" i="4"/>
  <c r="AC57" i="4"/>
  <c r="AC71" i="4"/>
  <c r="AC78" i="4"/>
  <c r="AG78" i="4" s="1"/>
  <c r="AH78" i="4" s="1"/>
  <c r="AC16" i="4"/>
  <c r="AC50" i="4"/>
  <c r="AC64" i="4"/>
  <c r="AC18" i="4"/>
  <c r="AG18" i="4" s="1"/>
  <c r="AH18" i="4" s="1"/>
  <c r="AC31" i="4"/>
  <c r="AC59" i="4"/>
  <c r="AC72" i="4"/>
  <c r="AC73" i="4"/>
  <c r="O73" i="4" s="1"/>
  <c r="O13" i="6"/>
  <c r="O37" i="6"/>
  <c r="N42" i="6"/>
  <c r="N9" i="6"/>
  <c r="O18" i="6"/>
  <c r="N33" i="6"/>
  <c r="AC13" i="4"/>
  <c r="O13" i="4" s="1"/>
  <c r="AC26" i="4"/>
  <c r="AC40" i="4"/>
  <c r="AC61" i="4"/>
  <c r="O61" i="4" s="1"/>
  <c r="AC74" i="4"/>
  <c r="O14" i="6"/>
  <c r="N19" i="6"/>
  <c r="N29" i="6"/>
  <c r="O38" i="6"/>
  <c r="N10" i="6"/>
  <c r="O19" i="6"/>
  <c r="O29" i="6"/>
  <c r="N34" i="6"/>
  <c r="O43" i="6"/>
  <c r="O68" i="4"/>
  <c r="N68" i="4"/>
  <c r="AG68" i="4"/>
  <c r="AH68" i="4" s="1"/>
  <c r="AG49" i="4"/>
  <c r="AH49" i="4" s="1"/>
  <c r="N8" i="5"/>
  <c r="AC17" i="4"/>
  <c r="AC29" i="4"/>
  <c r="AC41" i="4"/>
  <c r="AC34" i="4"/>
  <c r="AC58" i="4"/>
  <c r="AC70" i="4"/>
  <c r="N12" i="6"/>
  <c r="N16" i="6"/>
  <c r="N24" i="6"/>
  <c r="N44" i="6"/>
  <c r="N48" i="6"/>
  <c r="AC53" i="4"/>
  <c r="AC65" i="4"/>
  <c r="AC77" i="4"/>
  <c r="AC22" i="4"/>
  <c r="AC46" i="4"/>
  <c r="N8" i="6"/>
  <c r="N20" i="6"/>
  <c r="N28" i="6"/>
  <c r="N32" i="6"/>
  <c r="N36" i="6"/>
  <c r="N40" i="6"/>
  <c r="AC15" i="4"/>
  <c r="AC27" i="4"/>
  <c r="AC39" i="4"/>
  <c r="AC51" i="4"/>
  <c r="O8" i="6"/>
  <c r="O16" i="6"/>
  <c r="O20" i="6"/>
  <c r="O24" i="6"/>
  <c r="O28" i="6"/>
  <c r="O32" i="6"/>
  <c r="O36" i="6"/>
  <c r="O44" i="6"/>
  <c r="O48" i="6"/>
  <c r="AC10" i="4"/>
  <c r="AC63" i="4"/>
  <c r="AC75" i="4"/>
  <c r="O12" i="6"/>
  <c r="AC8" i="4"/>
  <c r="AC20" i="4"/>
  <c r="AC32" i="4"/>
  <c r="AC44" i="4"/>
  <c r="AC56" i="4"/>
  <c r="AG37" i="4" l="1"/>
  <c r="AH37" i="4" s="1"/>
  <c r="N13" i="4"/>
  <c r="AG13" i="4"/>
  <c r="AH13" i="4" s="1"/>
  <c r="N25" i="4"/>
  <c r="AG25" i="4"/>
  <c r="AH25" i="4" s="1"/>
  <c r="AG61" i="4"/>
  <c r="AH61" i="4" s="1"/>
  <c r="N37" i="4"/>
  <c r="AG71" i="4"/>
  <c r="AH71" i="4" s="1"/>
  <c r="O71" i="4"/>
  <c r="N71" i="4"/>
  <c r="AG43" i="4"/>
  <c r="AH43" i="4" s="1"/>
  <c r="O43" i="4"/>
  <c r="N43" i="4"/>
  <c r="AG52" i="4"/>
  <c r="AH52" i="4" s="1"/>
  <c r="O52" i="4"/>
  <c r="N52" i="4"/>
  <c r="AG73" i="4"/>
  <c r="AH73" i="4" s="1"/>
  <c r="AG72" i="4"/>
  <c r="AH72" i="4" s="1"/>
  <c r="O72" i="4"/>
  <c r="N72" i="4"/>
  <c r="N30" i="4"/>
  <c r="O30" i="4"/>
  <c r="AG28" i="4"/>
  <c r="AH28" i="4" s="1"/>
  <c r="N28" i="4"/>
  <c r="O28" i="4"/>
  <c r="AG23" i="4"/>
  <c r="AH23" i="4" s="1"/>
  <c r="O23" i="4"/>
  <c r="N23" i="4"/>
  <c r="AG40" i="4"/>
  <c r="AH40" i="4" s="1"/>
  <c r="O40" i="4"/>
  <c r="N40" i="4"/>
  <c r="N73" i="4"/>
  <c r="AG64" i="4"/>
  <c r="AH64" i="4" s="1"/>
  <c r="O64" i="4"/>
  <c r="N64" i="4"/>
  <c r="AG19" i="4"/>
  <c r="AH19" i="4" s="1"/>
  <c r="O19" i="4"/>
  <c r="N19" i="4"/>
  <c r="AG48" i="4"/>
  <c r="AH48" i="4" s="1"/>
  <c r="O48" i="4"/>
  <c r="N48" i="4"/>
  <c r="AG57" i="4"/>
  <c r="AH57" i="4" s="1"/>
  <c r="O57" i="4"/>
  <c r="N57" i="4"/>
  <c r="AG76" i="4"/>
  <c r="AH76" i="4" s="1"/>
  <c r="N76" i="4"/>
  <c r="O76" i="4"/>
  <c r="AG11" i="4"/>
  <c r="AH11" i="4" s="1"/>
  <c r="O11" i="4"/>
  <c r="N11" i="4"/>
  <c r="AG62" i="4"/>
  <c r="AH62" i="4" s="1"/>
  <c r="N62" i="4"/>
  <c r="O62" i="4"/>
  <c r="AG36" i="4"/>
  <c r="AH36" i="4" s="1"/>
  <c r="O36" i="4"/>
  <c r="N36" i="4"/>
  <c r="AG67" i="4"/>
  <c r="AH67" i="4" s="1"/>
  <c r="O67" i="4"/>
  <c r="N67" i="4"/>
  <c r="AG38" i="4"/>
  <c r="AH38" i="4" s="1"/>
  <c r="N38" i="4"/>
  <c r="O38" i="4"/>
  <c r="AG74" i="4"/>
  <c r="AH74" i="4" s="1"/>
  <c r="O74" i="4"/>
  <c r="N74" i="4"/>
  <c r="AG60" i="4"/>
  <c r="AH60" i="4" s="1"/>
  <c r="O60" i="4"/>
  <c r="N60" i="4"/>
  <c r="AG59" i="4"/>
  <c r="AH59" i="4" s="1"/>
  <c r="O59" i="4"/>
  <c r="N59" i="4"/>
  <c r="N54" i="4"/>
  <c r="O54" i="4"/>
  <c r="AG14" i="4"/>
  <c r="AH14" i="4" s="1"/>
  <c r="N14" i="4"/>
  <c r="O14" i="4"/>
  <c r="AG31" i="4"/>
  <c r="AH31" i="4" s="1"/>
  <c r="O31" i="4"/>
  <c r="N31" i="4"/>
  <c r="AG9" i="4"/>
  <c r="AH9" i="4" s="1"/>
  <c r="O9" i="4"/>
  <c r="N9" i="4"/>
  <c r="AG47" i="4"/>
  <c r="AH47" i="4" s="1"/>
  <c r="O47" i="4"/>
  <c r="N47" i="4"/>
  <c r="AG69" i="4"/>
  <c r="AH69" i="4" s="1"/>
  <c r="O69" i="4"/>
  <c r="N69" i="4"/>
  <c r="AG26" i="4"/>
  <c r="AH26" i="4" s="1"/>
  <c r="O26" i="4"/>
  <c r="N26" i="4"/>
  <c r="N18" i="4"/>
  <c r="O18" i="4"/>
  <c r="AG33" i="4"/>
  <c r="AH33" i="4" s="1"/>
  <c r="O33" i="4"/>
  <c r="N33" i="4"/>
  <c r="AG55" i="4"/>
  <c r="AH55" i="4" s="1"/>
  <c r="O55" i="4"/>
  <c r="N55" i="4"/>
  <c r="N61" i="4"/>
  <c r="AG50" i="4"/>
  <c r="AH50" i="4" s="1"/>
  <c r="O50" i="4"/>
  <c r="N50" i="4"/>
  <c r="AG12" i="4"/>
  <c r="AH12" i="4" s="1"/>
  <c r="N12" i="4"/>
  <c r="O12" i="4"/>
  <c r="N66" i="4"/>
  <c r="O66" i="4"/>
  <c r="N42" i="4"/>
  <c r="O42" i="4"/>
  <c r="N49" i="4"/>
  <c r="AG54" i="4"/>
  <c r="AH54" i="4" s="1"/>
  <c r="AG16" i="4"/>
  <c r="AH16" i="4" s="1"/>
  <c r="O16" i="4"/>
  <c r="N16" i="4"/>
  <c r="AG45" i="4"/>
  <c r="AH45" i="4" s="1"/>
  <c r="O45" i="4"/>
  <c r="N45" i="4"/>
  <c r="AG35" i="4"/>
  <c r="AH35" i="4" s="1"/>
  <c r="O35" i="4"/>
  <c r="N35" i="4"/>
  <c r="AG42" i="4"/>
  <c r="AH42" i="4" s="1"/>
  <c r="N78" i="4"/>
  <c r="O78" i="4"/>
  <c r="AG24" i="4"/>
  <c r="AH24" i="4" s="1"/>
  <c r="O24" i="4"/>
  <c r="N24" i="4"/>
  <c r="AG21" i="4"/>
  <c r="AH21" i="4" s="1"/>
  <c r="O21" i="4"/>
  <c r="N21" i="4"/>
  <c r="AG70" i="4"/>
  <c r="AH70" i="4" s="1"/>
  <c r="O70" i="4"/>
  <c r="N70" i="4"/>
  <c r="AG75" i="4"/>
  <c r="AH75" i="4" s="1"/>
  <c r="N75" i="4"/>
  <c r="O75" i="4"/>
  <c r="AG51" i="4"/>
  <c r="AH51" i="4" s="1"/>
  <c r="N51" i="4"/>
  <c r="O51" i="4"/>
  <c r="N10" i="4"/>
  <c r="AG10" i="4"/>
  <c r="AH10" i="4" s="1"/>
  <c r="O10" i="4"/>
  <c r="AG39" i="4"/>
  <c r="AH39" i="4" s="1"/>
  <c r="N39" i="4"/>
  <c r="O39" i="4"/>
  <c r="N46" i="4"/>
  <c r="AG46" i="4"/>
  <c r="AH46" i="4" s="1"/>
  <c r="O46" i="4"/>
  <c r="AG77" i="4"/>
  <c r="AH77" i="4" s="1"/>
  <c r="O77" i="4"/>
  <c r="N77" i="4"/>
  <c r="AG15" i="4"/>
  <c r="AH15" i="4" s="1"/>
  <c r="O15" i="4"/>
  <c r="N15" i="4"/>
  <c r="AG53" i="4"/>
  <c r="AH53" i="4" s="1"/>
  <c r="O53" i="4"/>
  <c r="N53" i="4"/>
  <c r="AG17" i="4"/>
  <c r="AH17" i="4" s="1"/>
  <c r="O17" i="4"/>
  <c r="N17" i="4"/>
  <c r="O56" i="4"/>
  <c r="AG56" i="4"/>
  <c r="AH56" i="4" s="1"/>
  <c r="N56" i="4"/>
  <c r="AG65" i="4"/>
  <c r="AH65" i="4" s="1"/>
  <c r="N65" i="4"/>
  <c r="O65" i="4"/>
  <c r="AG63" i="4"/>
  <c r="AH63" i="4" s="1"/>
  <c r="N63" i="4"/>
  <c r="O63" i="4"/>
  <c r="AG58" i="4"/>
  <c r="AH58" i="4" s="1"/>
  <c r="O58" i="4"/>
  <c r="N58" i="4"/>
  <c r="AG22" i="4"/>
  <c r="AH22" i="4" s="1"/>
  <c r="O22" i="4"/>
  <c r="N22" i="4"/>
  <c r="AG34" i="4"/>
  <c r="AH34" i="4" s="1"/>
  <c r="O34" i="4"/>
  <c r="N34" i="4"/>
  <c r="AG27" i="4"/>
  <c r="AH27" i="4" s="1"/>
  <c r="O27" i="4"/>
  <c r="N27" i="4"/>
  <c r="O32" i="4"/>
  <c r="AG32" i="4"/>
  <c r="AH32" i="4" s="1"/>
  <c r="N32" i="4"/>
  <c r="O20" i="4"/>
  <c r="N20" i="4"/>
  <c r="AG20" i="4"/>
  <c r="AH20" i="4" s="1"/>
  <c r="AG41" i="4"/>
  <c r="AH41" i="4" s="1"/>
  <c r="O41" i="4"/>
  <c r="N41" i="4"/>
  <c r="O44" i="4"/>
  <c r="N44" i="4"/>
  <c r="AG44" i="4"/>
  <c r="AH44" i="4" s="1"/>
  <c r="AG29" i="4"/>
  <c r="AH29" i="4" s="1"/>
  <c r="O29" i="4"/>
  <c r="N29" i="4"/>
  <c r="O8" i="4"/>
  <c r="N8" i="4"/>
  <c r="AG8" i="4"/>
  <c r="AH8" i="4" s="1"/>
</calcChain>
</file>

<file path=xl/sharedStrings.xml><?xml version="1.0" encoding="utf-8"?>
<sst xmlns="http://schemas.openxmlformats.org/spreadsheetml/2006/main" count="1086" uniqueCount="185">
  <si>
    <t>DASHBOARD DE FÉRIAS</t>
  </si>
  <si>
    <t>Férias Vencidas</t>
  </si>
  <si>
    <t>Férias a Vencer</t>
  </si>
  <si>
    <t>Férias Programadas</t>
  </si>
  <si>
    <t>Colaboradores</t>
  </si>
  <si>
    <t>Setor</t>
  </si>
  <si>
    <t>Qtd</t>
  </si>
  <si>
    <t>Mês</t>
  </si>
  <si>
    <t>Férias</t>
  </si>
  <si>
    <t>Financeiro</t>
  </si>
  <si>
    <t>Jan</t>
  </si>
  <si>
    <t>RH</t>
  </si>
  <si>
    <t>Fev</t>
  </si>
  <si>
    <t>Oficina</t>
  </si>
  <si>
    <t>Mar</t>
  </si>
  <si>
    <t>Logística</t>
  </si>
  <si>
    <t>Abr</t>
  </si>
  <si>
    <t>Comercial</t>
  </si>
  <si>
    <t>Mai</t>
  </si>
  <si>
    <t>Marketing</t>
  </si>
  <si>
    <t>Jun</t>
  </si>
  <si>
    <t>Jul</t>
  </si>
  <si>
    <t>Ago</t>
  </si>
  <si>
    <t>Set</t>
  </si>
  <si>
    <t>Out</t>
  </si>
  <si>
    <t>Nov</t>
  </si>
  <si>
    <t>Dez</t>
  </si>
  <si>
    <t>OBSERVAÇÃO:</t>
  </si>
  <si>
    <t>Agora o ideal é alimentar apenas a aba BASE GERAL.</t>
  </si>
  <si>
    <t>Usar a coluna EMPRESA + SETOR para filtros e indicadores.</t>
  </si>
  <si>
    <t>Os setores padrão estão na aba SETORES.</t>
  </si>
  <si>
    <t>CONTROLE DE FÉRIAS - 3 EMPRESAS</t>
  </si>
  <si>
    <t>Empresa</t>
  </si>
  <si>
    <t>Aba</t>
  </si>
  <si>
    <t>Observação</t>
  </si>
  <si>
    <t>Torque Master</t>
  </si>
  <si>
    <t>Planilha com fórmulas preservadas para atualização ao abrir.</t>
  </si>
  <si>
    <t>AMP Comercio</t>
  </si>
  <si>
    <t>Auto Mec</t>
  </si>
  <si>
    <t>TORQUE MASTER AUTO PECAS LTDA</t>
  </si>
  <si>
    <t xml:space="preserve">             </t>
  </si>
  <si>
    <t xml:space="preserve">Página: </t>
  </si>
  <si>
    <t>1 / 2</t>
  </si>
  <si>
    <t>CNPJ:</t>
  </si>
  <si>
    <t>14661146000192</t>
  </si>
  <si>
    <t xml:space="preserve">Emissão: </t>
  </si>
  <si>
    <t>Data base:</t>
  </si>
  <si>
    <t>Horas:</t>
  </si>
  <si>
    <t>PROGRAMAÇÃO DE FÉRIAS</t>
  </si>
  <si>
    <t>Data</t>
  </si>
  <si>
    <t>Vencto.</t>
  </si>
  <si>
    <t>Fer.</t>
  </si>
  <si>
    <t>Início</t>
  </si>
  <si>
    <t>Fim</t>
  </si>
  <si>
    <t>Dias</t>
  </si>
  <si>
    <t>Limite</t>
  </si>
  <si>
    <t>Código</t>
  </si>
  <si>
    <t xml:space="preserve">Empregado </t>
  </si>
  <si>
    <t>admissão</t>
  </si>
  <si>
    <t>férias</t>
  </si>
  <si>
    <t>pro.</t>
  </si>
  <si>
    <t>aquisitivo</t>
  </si>
  <si>
    <t>gozo férias</t>
  </si>
  <si>
    <t>Abono</t>
  </si>
  <si>
    <t>13º</t>
  </si>
  <si>
    <t>dir.</t>
  </si>
  <si>
    <t>goz.</t>
  </si>
  <si>
    <t>rest.</t>
  </si>
  <si>
    <t>p/ gozo</t>
  </si>
  <si>
    <t>afast.</t>
  </si>
  <si>
    <t>faltas</t>
  </si>
  <si>
    <t>licitaçao</t>
  </si>
  <si>
    <t>VITOR ENEAS SILVA DE FARIA</t>
  </si>
  <si>
    <t>..../..../......</t>
  </si>
  <si>
    <t>....</t>
  </si>
  <si>
    <t>-</t>
  </si>
  <si>
    <t>2</t>
  </si>
  <si>
    <t>FLORENCIO RODRIGUES ALMEIDA COELHO</t>
  </si>
  <si>
    <t>comercial</t>
  </si>
  <si>
    <t>JOÃO PAULO BELO</t>
  </si>
  <si>
    <t>48</t>
  </si>
  <si>
    <t>adm</t>
  </si>
  <si>
    <t>CARLA ELISANDRA SILVA ARAUJO</t>
  </si>
  <si>
    <t>logistica</t>
  </si>
  <si>
    <t>RAFAEL VILELA DE SOUZA</t>
  </si>
  <si>
    <t>LUIS RICARDO APARECIDO BORGES</t>
  </si>
  <si>
    <t>obras</t>
  </si>
  <si>
    <t>WEMERSON FERNANDO PINTO</t>
  </si>
  <si>
    <t>30</t>
  </si>
  <si>
    <t>MANASSES SANTOS FERREIRA</t>
  </si>
  <si>
    <t>RONEI NOVAIS NATIVO FILHO</t>
  </si>
  <si>
    <t>BRUNO CEARA</t>
  </si>
  <si>
    <t>EVALDO RODRIGUES TEIXEIRA</t>
  </si>
  <si>
    <t>WILLIAM RODRIGO DA COSTA</t>
  </si>
  <si>
    <t>15/06/2026</t>
  </si>
  <si>
    <t>RICHARD BELARMINO DOS SANTOS</t>
  </si>
  <si>
    <t>5</t>
  </si>
  <si>
    <t>DEIVID FERNANDO DA CUNHA</t>
  </si>
  <si>
    <t>1</t>
  </si>
  <si>
    <t>DANIEL FERREIRA ALCANTARA</t>
  </si>
  <si>
    <t>MILENE CRISTINA LISBOA SILVA</t>
  </si>
  <si>
    <t xml:space="preserve">ALEXANDRE SOUZA TERRA FARIA </t>
  </si>
  <si>
    <t>ROMARIO MESSIAS ROSA</t>
  </si>
  <si>
    <t xml:space="preserve">RHAYA RUBIA ARAUJO SILVA </t>
  </si>
  <si>
    <t>ALEXANDRE SILVA LOPES</t>
  </si>
  <si>
    <t>HIAGO FERREIRA LARA</t>
  </si>
  <si>
    <t>RHUAN FRANCISCO OLIVEIRA SILVA</t>
  </si>
  <si>
    <t>oficina</t>
  </si>
  <si>
    <t xml:space="preserve">LUIS HENRIQUE COUTINHO BELO </t>
  </si>
  <si>
    <t>LUIS ANTONIO RODRIGUES</t>
  </si>
  <si>
    <t xml:space="preserve">HENRIQUE DE OLIVEIRA COSTA BASILIO </t>
  </si>
  <si>
    <t xml:space="preserve">MARCO TULIO FARIA RABELO </t>
  </si>
  <si>
    <t>ANA CAROLINA SOUSA VILA NOVA</t>
  </si>
  <si>
    <t>PEDRO HENRIQUE DOS SANTOS PEREIRA</t>
  </si>
  <si>
    <t>GEULE DA FONSECA</t>
  </si>
  <si>
    <t xml:space="preserve">AIRTON JUNIO DA SILVA PEREIRA </t>
  </si>
  <si>
    <t>JONATHA DANIEL ANDRADE DE JESUS</t>
  </si>
  <si>
    <t>MATEUS CAMARGO FONSECA</t>
  </si>
  <si>
    <t>VALERIA RODRIGUES</t>
  </si>
  <si>
    <t>GLEISON MESSIAS DE ARAUJO</t>
  </si>
  <si>
    <t>JORGE LUIZ FERREIRA</t>
  </si>
  <si>
    <t>ADSON GUILHERME GONCALVES LARA</t>
  </si>
  <si>
    <t>LUIS FHILIPY GOULART DE MELO</t>
  </si>
  <si>
    <t>GABRIEL ALVES DE OLIVEIRA</t>
  </si>
  <si>
    <t>BERNARDO FERREIRA RIBEIRO</t>
  </si>
  <si>
    <t>VINICIUS RODRIGUES DE OLIVEIRA</t>
  </si>
  <si>
    <t>JOICE SILVA MONTEIRO FARIA</t>
  </si>
  <si>
    <t>MATHEUS DE OLIVEIRA FARIA</t>
  </si>
  <si>
    <t>MARIA APARECIDA TERRA FARIA</t>
  </si>
  <si>
    <t>SERGIO MURILO GOMES DE MORAIS</t>
  </si>
  <si>
    <t>3</t>
  </si>
  <si>
    <t>FELIPE GABRIEL VILELA</t>
  </si>
  <si>
    <t xml:space="preserve">ISABELLY SOUSA FERREIRA CASTRO </t>
  </si>
  <si>
    <t xml:space="preserve">ANDRE DE CASTRO FARIA </t>
  </si>
  <si>
    <t xml:space="preserve">DAIANE CRISTINA SOUZA FERREIRA </t>
  </si>
  <si>
    <t>AMP COMERCIO E DISTRIBUIDORA LTDA</t>
  </si>
  <si>
    <t>1 / 1</t>
  </si>
  <si>
    <t>41909672000100</t>
  </si>
  <si>
    <t>WILIAM DOUGLAS DA SILVA</t>
  </si>
  <si>
    <t>0</t>
  </si>
  <si>
    <t>AUTO MECANICA PAINS LTDA</t>
  </si>
  <si>
    <t>29177852000130</t>
  </si>
  <si>
    <t>DOUGLAS SOUSA DA SILVA</t>
  </si>
  <si>
    <t>14</t>
  </si>
  <si>
    <t>20</t>
  </si>
  <si>
    <t>VITOR LUIS DA SILVA</t>
  </si>
  <si>
    <t>15</t>
  </si>
  <si>
    <t>173</t>
  </si>
  <si>
    <t>10</t>
  </si>
  <si>
    <t xml:space="preserve">DIMITRI SILVA PEREIRA </t>
  </si>
  <si>
    <t>7,5</t>
  </si>
  <si>
    <t>LUANA COSTA DE ANDRADE</t>
  </si>
  <si>
    <t>DOUGLAS HENRIQUE DE FARIA</t>
  </si>
  <si>
    <t xml:space="preserve">EDMAR MARCOS RAIMUNDO </t>
  </si>
  <si>
    <t>GABRIEL AUGUSTO DA SILVA</t>
  </si>
  <si>
    <t>ADRIAN EDUARDO ALVES</t>
  </si>
  <si>
    <t>2,5</t>
  </si>
  <si>
    <t>MARCOS VINICIUS FURTADO GUIMARAES</t>
  </si>
  <si>
    <t>BRUNO SILVEIRA DE OLIVEIRA</t>
  </si>
  <si>
    <t>LIVIA FERREIRA PIMENTEL LOURENCO</t>
  </si>
  <si>
    <t>27,5</t>
  </si>
  <si>
    <t>BELCHOR JOSE DIAS</t>
  </si>
  <si>
    <t>HIAGO FARIA RIBEIRO PINTO DA SILVEIRA</t>
  </si>
  <si>
    <t>CLAUDIO FONTANA NONATO JUNIOR</t>
  </si>
  <si>
    <t>25</t>
  </si>
  <si>
    <t>EDUARDA MARLA DA SILVEIRA</t>
  </si>
  <si>
    <t>REGIO TOME DA SILVA</t>
  </si>
  <si>
    <t xml:space="preserve">JEAN JUNIO MOTA DE SOUZA </t>
  </si>
  <si>
    <t>MARCOS PAULO PAIM DA COSTA</t>
  </si>
  <si>
    <t>PAULO VICTOR LOPES DE OLIVEIRA</t>
  </si>
  <si>
    <t>22,5</t>
  </si>
  <si>
    <t xml:space="preserve">FERNANDA JUNIA RODRIGUES </t>
  </si>
  <si>
    <t>JURANDIR LOURENCO SOUZA</t>
  </si>
  <si>
    <t xml:space="preserve">SAMUEL HENRIQUE ARANTES COSTA </t>
  </si>
  <si>
    <t>JYOSEFAN DE AZEVEDO COUTO</t>
  </si>
  <si>
    <t>OLIVIO JOSE ALVES</t>
  </si>
  <si>
    <t>12,5</t>
  </si>
  <si>
    <t>IGOR HENRIQUE PEREIRA CRISPIM</t>
  </si>
  <si>
    <t xml:space="preserve">LEONARDO DE OLIVEIRA </t>
  </si>
  <si>
    <t>ARTUR JUNIO DE CASTRO</t>
  </si>
  <si>
    <t xml:space="preserve">GERALDO MANGELA DE ALVARENGA </t>
  </si>
  <si>
    <t xml:space="preserve">KAUA FRANCISCO DA COSTA </t>
  </si>
  <si>
    <t>LUAN HENRIQUE DA SILVA MACEDO</t>
  </si>
  <si>
    <t>MATHEUS HENRIQUE CEARA MENEZES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</si>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</sst>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sz val="10"/>
      <name val="Arial"/>
      <charset val="1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0" fontId="3" fillId="0" borderId="0" xfId="0" applyFont="1"/>
    <xf numFmtId="0" fontId="3" fillId="2" borderId="0" xfId="0" applyFont="1" applyFill="1"/>
    <xf numFmtId="49" fontId="5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6" fillId="0" borderId="0" xfId="0" applyFont="1"/>
    <xf numFmtId="0" fontId="10" fillId="0" borderId="0" xfId="0" applyFont="1"/>
    <xf numFmtId="0" fontId="9" fillId="5" borderId="0" xfId="0" applyFont="1" applyFill="1" applyAlignment="1">
      <alignment horizontal="center" vertical="center"/>
    </xf>
    <xf numFmtId="0" fontId="0" fillId="0" borderId="0" xfId="0"/>
    <xf numFmtId="0" fontId="8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21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center" vertical="top" wrapText="1"/>
    </xf>
    <xf numFmtId="21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wrapText="1"/>
    </xf>
    <xf numFmtId="1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49" fontId="5" fillId="0" borderId="0" xfId="0" applyNumberFormat="1" applyFont="1" applyAlignment="1">
      <alignment horizontal="left" vertical="top"/>
    </xf>
    <xf numFmtId="14" fontId="5" fillId="0" borderId="0" xfId="0" applyNumberFormat="1" applyFont="1" applyAlignment="1">
      <alignment horizontal="center" vertical="top"/>
    </xf>
    <xf numFmtId="14" fontId="5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Férias por Mês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Férias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DASHBOARD!$D$9:$D$20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DASHBOARD!$E$9:$E$20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F-4A69-821A-B208A15EF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Colaboradores por Setor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61111111111111"/>
          <c:y val="9.7013888888888886E-2"/>
          <c:w val="0.72238888888888886"/>
          <c:h val="0.90298611111111116"/>
        </c:manualLayout>
      </c:layout>
      <c:pieChart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Qtd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DASHBOARD!$A$9:$A$14</c:f>
              <c:strCache>
                <c:ptCount val="6"/>
                <c:pt idx="0">
                  <c:v>Financeiro</c:v>
                </c:pt>
                <c:pt idx="1">
                  <c:v>RH</c:v>
                </c:pt>
                <c:pt idx="2">
                  <c:v>Oficina</c:v>
                </c:pt>
                <c:pt idx="3">
                  <c:v>Logística</c:v>
                </c:pt>
                <c:pt idx="4">
                  <c:v>Comercial</c:v>
                </c:pt>
                <c:pt idx="5">
                  <c:v>Marketing</c:v>
                </c:pt>
              </c:strCache>
            </c:strRef>
          </c:cat>
          <c:val>
            <c:numRef>
              <c:f>DASHBOARD!$B$9:$B$14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15</c:v>
                </c:pt>
                <c:pt idx="3">
                  <c:v>10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A-4950-B6A6-0F8D690E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38100</xdr:colOff>
      <xdr:row>24</xdr:row>
      <xdr:rowOff>127000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7" workbookViewId="0">
      <selection activeCell="A12" sqref="A12"/>
    </sheetView>
  </sheetViews>
  <sheetFormatPr defaultRowHeight="14.5" x14ac:dyDescent="0.35"/>
  <cols>
    <col min="1" max="8" width="18" customWidth="1"/>
  </cols>
  <sheetData>
    <row r="1" spans="1:8" x14ac:dyDescent="0.35">
      <c r="A1" s="27" t="s">
        <v>0</v>
      </c>
      <c r="B1" s="25"/>
      <c r="C1" s="25"/>
      <c r="D1" s="25"/>
      <c r="E1" s="25"/>
      <c r="F1" s="25"/>
      <c r="G1" s="25"/>
      <c r="H1" s="25"/>
    </row>
    <row r="2" spans="1:8" x14ac:dyDescent="0.35">
      <c r="A2" s="25"/>
      <c r="B2" s="25"/>
      <c r="C2" s="25"/>
      <c r="D2" s="25"/>
      <c r="E2" s="25"/>
      <c r="F2" s="25"/>
      <c r="G2" s="25"/>
      <c r="H2" s="25"/>
    </row>
    <row r="4" spans="1:8" x14ac:dyDescent="0.35">
      <c r="A4" s="26" t="s">
        <v>1</v>
      </c>
      <c r="B4" s="24">
        <v>12</v>
      </c>
      <c r="C4" s="26" t="s">
        <v>2</v>
      </c>
      <c r="D4" s="24">
        <v>18</v>
      </c>
      <c r="E4" s="26" t="s">
        <v>3</v>
      </c>
      <c r="F4" s="24">
        <v>9</v>
      </c>
      <c r="G4" s="26" t="s">
        <v>4</v>
      </c>
      <c r="H4" s="24">
        <v>48</v>
      </c>
    </row>
    <row r="5" spans="1:8" x14ac:dyDescent="0.35">
      <c r="A5" s="25"/>
      <c r="B5" s="25"/>
      <c r="C5" s="25"/>
      <c r="D5" s="25"/>
      <c r="E5" s="25"/>
      <c r="F5" s="25"/>
      <c r="G5" s="25"/>
      <c r="H5" s="25"/>
    </row>
    <row r="8" spans="1:8" x14ac:dyDescent="0.35">
      <c r="A8" t="s">
        <v>5</v>
      </c>
      <c r="B8" t="s">
        <v>6</v>
      </c>
      <c r="D8" t="s">
        <v>7</v>
      </c>
      <c r="E8" t="s">
        <v>8</v>
      </c>
    </row>
    <row r="9" spans="1:8" x14ac:dyDescent="0.35">
      <c r="A9" t="s">
        <v>9</v>
      </c>
      <c r="B9">
        <v>6</v>
      </c>
      <c r="D9" t="s">
        <v>10</v>
      </c>
      <c r="E9">
        <v>2</v>
      </c>
    </row>
    <row r="10" spans="1:8" x14ac:dyDescent="0.35">
      <c r="A10" t="s">
        <v>11</v>
      </c>
      <c r="B10">
        <v>3</v>
      </c>
      <c r="D10" t="s">
        <v>12</v>
      </c>
      <c r="E10">
        <v>4</v>
      </c>
    </row>
    <row r="11" spans="1:8" x14ac:dyDescent="0.35">
      <c r="A11" t="s">
        <v>13</v>
      </c>
      <c r="B11">
        <v>15</v>
      </c>
      <c r="D11" t="s">
        <v>14</v>
      </c>
      <c r="E11">
        <v>5</v>
      </c>
    </row>
    <row r="12" spans="1:8" x14ac:dyDescent="0.35">
      <c r="A12" t="s">
        <v>15</v>
      </c>
      <c r="B12">
        <v>10</v>
      </c>
      <c r="D12" t="s">
        <v>16</v>
      </c>
      <c r="E12">
        <v>3</v>
      </c>
    </row>
    <row r="13" spans="1:8" x14ac:dyDescent="0.35">
      <c r="A13" t="s">
        <v>17</v>
      </c>
      <c r="B13">
        <v>8</v>
      </c>
      <c r="D13" t="s">
        <v>18</v>
      </c>
      <c r="E13">
        <v>6</v>
      </c>
    </row>
    <row r="14" spans="1:8" x14ac:dyDescent="0.35">
      <c r="A14" t="s">
        <v>19</v>
      </c>
      <c r="B14">
        <v>2</v>
      </c>
      <c r="D14" t="s">
        <v>20</v>
      </c>
      <c r="E14">
        <v>7</v>
      </c>
    </row>
    <row r="15" spans="1:8" x14ac:dyDescent="0.35">
      <c r="D15" t="s">
        <v>21</v>
      </c>
      <c r="E15">
        <v>8</v>
      </c>
    </row>
    <row r="16" spans="1:8" x14ac:dyDescent="0.35">
      <c r="D16" t="s">
        <v>22</v>
      </c>
      <c r="E16">
        <v>5</v>
      </c>
    </row>
    <row r="17" spans="1:5" x14ac:dyDescent="0.35">
      <c r="D17" t="s">
        <v>23</v>
      </c>
      <c r="E17">
        <v>4</v>
      </c>
    </row>
    <row r="18" spans="1:5" x14ac:dyDescent="0.35">
      <c r="D18" t="s">
        <v>24</v>
      </c>
      <c r="E18">
        <v>3</v>
      </c>
    </row>
    <row r="19" spans="1:5" x14ac:dyDescent="0.35">
      <c r="D19" t="s">
        <v>25</v>
      </c>
      <c r="E19">
        <v>2</v>
      </c>
    </row>
    <row r="20" spans="1:5" x14ac:dyDescent="0.35">
      <c r="D20" t="s">
        <v>26</v>
      </c>
      <c r="E20">
        <v>1</v>
      </c>
    </row>
    <row r="30" spans="1:5" x14ac:dyDescent="0.35">
      <c r="A30" s="23" t="s">
        <v>27</v>
      </c>
    </row>
    <row r="31" spans="1:5" x14ac:dyDescent="0.35">
      <c r="A31" t="s">
        <v>28</v>
      </c>
    </row>
    <row r="32" spans="1:5" x14ac:dyDescent="0.35">
      <c r="A32" t="s">
        <v>29</v>
      </c>
    </row>
    <row r="33" spans="1:1" x14ac:dyDescent="0.35">
      <c r="A33" t="s">
        <v>30</v>
      </c>
    </row>
  </sheetData>
  <mergeCells count="9">
    <mergeCell ref="H4:H5"/>
    <mergeCell ref="E4:E5"/>
    <mergeCell ref="A1:H2"/>
    <mergeCell ref="B4:B5"/>
    <mergeCell ref="C4:C5"/>
    <mergeCell ref="A4:A5"/>
    <mergeCell ref="G4:G5"/>
    <mergeCell ref="F4:F5"/>
    <mergeCell ref="D4:D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cols>
    <col min="1" max="1" width="24" customWidth="1"/>
    <col min="2" max="2" width="36" customWidth="1"/>
    <col min="3" max="3" width="58" customWidth="1"/>
  </cols>
  <sheetData>
    <row r="1" spans="1:3" x14ac:dyDescent="0.35">
      <c r="A1" s="1" t="s">
        <v>31</v>
      </c>
    </row>
    <row r="3" spans="1:3" x14ac:dyDescent="0.35">
      <c r="A3" s="1" t="s">
        <v>32</v>
      </c>
      <c r="B3" s="1" t="s">
        <v>33</v>
      </c>
      <c r="C3" s="1" t="s">
        <v>34</v>
      </c>
    </row>
    <row r="4" spans="1:3" x14ac:dyDescent="0.35">
      <c r="A4" t="s">
        <v>35</v>
      </c>
      <c r="B4" t="s">
        <v>35</v>
      </c>
      <c r="C4" t="s">
        <v>36</v>
      </c>
    </row>
    <row r="5" spans="1:3" x14ac:dyDescent="0.35">
      <c r="A5" t="s">
        <v>37</v>
      </c>
      <c r="B5" t="s">
        <v>37</v>
      </c>
      <c r="C5" t="s">
        <v>36</v>
      </c>
    </row>
    <row r="6" spans="1:3" x14ac:dyDescent="0.35">
      <c r="A6" t="s">
        <v>38</v>
      </c>
      <c r="B6" t="s">
        <v>38</v>
      </c>
      <c r="C6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1"/>
  <sheetViews>
    <sheetView tabSelected="1" workbookViewId="0">
      <selection activeCell="K22" sqref="K22"/>
    </sheetView>
  </sheetViews>
  <sheetFormatPr defaultColWidth="9.08984375" defaultRowHeight="12.75" customHeight="1" x14ac:dyDescent="0.35"/>
  <cols>
    <col min="1" max="1" width="7.36328125" customWidth="1"/>
    <col min="2" max="2" width="1.81640625" customWidth="1"/>
    <col min="3" max="3" width="2.26953125" customWidth="1"/>
    <col min="4" max="4" width="3.54296875" customWidth="1"/>
    <col min="5" max="5" width="1.54296875" customWidth="1"/>
    <col min="6" max="6" width="6.81640625" customWidth="1"/>
    <col min="7" max="7" width="5" customWidth="1"/>
    <col min="8" max="8" width="14.36328125" customWidth="1"/>
    <col min="9" max="9" width="5" customWidth="1"/>
    <col min="10" max="10" width="11.36328125" customWidth="1"/>
    <col min="11" max="11" width="10.08984375" customWidth="1"/>
    <col min="12" max="13" width="1" customWidth="1"/>
    <col min="14" max="14" width="4.08984375" customWidth="1"/>
    <col min="15" max="15" width="1" customWidth="1"/>
    <col min="16" max="16" width="6.08984375" customWidth="1"/>
    <col min="17" max="17" width="13.7265625" customWidth="1"/>
    <col min="18" max="18" width="3" customWidth="1"/>
    <col min="19" max="19" width="2.08984375" customWidth="1"/>
    <col min="20" max="20" width="6.26953125" customWidth="1"/>
    <col min="21" max="21" width="3.7265625" customWidth="1"/>
    <col min="22" max="22" width="1.54296875" customWidth="1"/>
    <col min="23" max="23" width="11.6328125" customWidth="1"/>
    <col min="24" max="24" width="5.6328125" customWidth="1"/>
    <col min="25" max="25" width="1" customWidth="1"/>
    <col min="26" max="26" width="3.81640625" customWidth="1"/>
    <col min="27" max="27" width="3.6328125" customWidth="1"/>
    <col min="28" max="28" width="6" customWidth="1"/>
    <col min="29" max="29" width="5.6328125" customWidth="1"/>
    <col min="30" max="30" width="1" customWidth="1"/>
    <col min="31" max="31" width="2" customWidth="1"/>
    <col min="32" max="32" width="4.26953125" customWidth="1"/>
    <col min="33" max="33" width="6" customWidth="1"/>
    <col min="34" max="34" width="3" customWidth="1"/>
    <col min="35" max="35" width="7.54296875" customWidth="1"/>
    <col min="36" max="36" width="1" customWidth="1"/>
    <col min="37" max="37" width="6" customWidth="1"/>
    <col min="38" max="38" width="1.54296875" customWidth="1"/>
    <col min="39" max="39" width="4.81640625" customWidth="1"/>
  </cols>
  <sheetData>
    <row r="1" spans="1:39" ht="11" customHeight="1" x14ac:dyDescent="0.35">
      <c r="A1" s="46" t="s">
        <v>135</v>
      </c>
      <c r="B1" s="25"/>
      <c r="C1" s="25"/>
      <c r="D1" s="25"/>
      <c r="E1" s="25"/>
      <c r="F1" s="25"/>
      <c r="G1" s="25"/>
      <c r="H1" s="25"/>
      <c r="I1" s="25"/>
      <c r="J1" s="25"/>
      <c r="K1" s="25"/>
      <c r="T1" s="41" t="s">
        <v>40</v>
      </c>
      <c r="U1" s="25"/>
      <c r="V1" s="25"/>
      <c r="W1" s="25"/>
      <c r="AI1" s="14" t="s">
        <v>41</v>
      </c>
      <c r="AJ1" s="49" t="s">
        <v>136</v>
      </c>
      <c r="AK1" s="25"/>
      <c r="AL1" s="25"/>
      <c r="AM1" s="25"/>
    </row>
    <row r="2" spans="1:39" ht="11.75" customHeight="1" x14ac:dyDescent="0.35">
      <c r="A2" s="50" t="s">
        <v>43</v>
      </c>
      <c r="B2" s="25"/>
      <c r="C2" s="25"/>
      <c r="D2" s="41" t="s">
        <v>137</v>
      </c>
      <c r="E2" s="25"/>
      <c r="F2" s="25"/>
      <c r="G2" s="25"/>
      <c r="H2" s="25"/>
      <c r="AI2" s="14" t="s">
        <v>45</v>
      </c>
      <c r="AJ2" s="47">
        <v>46168.523715277777</v>
      </c>
      <c r="AK2" s="25"/>
      <c r="AL2" s="25"/>
      <c r="AM2" s="25"/>
    </row>
    <row r="3" spans="1:39" ht="12.5" customHeight="1" x14ac:dyDescent="0.35">
      <c r="A3" s="44" t="s">
        <v>46</v>
      </c>
      <c r="B3" s="25"/>
      <c r="C3" s="25"/>
      <c r="D3" s="52">
        <f ca="1">TODAY()</f>
        <v>46169</v>
      </c>
      <c r="E3" s="25"/>
      <c r="F3" s="25"/>
      <c r="G3" s="25"/>
      <c r="V3" s="41" t="s">
        <v>40</v>
      </c>
      <c r="W3" s="25"/>
      <c r="X3" s="25"/>
      <c r="Y3" s="25"/>
      <c r="Z3" s="25"/>
      <c r="AI3" s="14" t="s">
        <v>47</v>
      </c>
      <c r="AJ3" s="43">
        <v>46168.523715277777</v>
      </c>
      <c r="AK3" s="25"/>
      <c r="AL3" s="25"/>
      <c r="AM3" s="25"/>
    </row>
    <row r="4" spans="1:39" ht="11.75" customHeight="1" x14ac:dyDescent="0.35">
      <c r="N4" s="42" t="s">
        <v>48</v>
      </c>
      <c r="O4" s="25"/>
      <c r="P4" s="25"/>
      <c r="Q4" s="25"/>
      <c r="R4" s="25"/>
      <c r="S4" s="25"/>
      <c r="T4" s="25"/>
    </row>
    <row r="5" spans="1:39" ht="12.5" customHeight="1" x14ac:dyDescent="0.35">
      <c r="A5" s="41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39" ht="11" customHeight="1" x14ac:dyDescent="0.35">
      <c r="J6" s="15" t="s">
        <v>49</v>
      </c>
      <c r="K6" s="42" t="s">
        <v>50</v>
      </c>
      <c r="L6" s="25"/>
      <c r="M6" s="42" t="s">
        <v>51</v>
      </c>
      <c r="N6" s="25"/>
      <c r="P6" s="15" t="s">
        <v>51</v>
      </c>
      <c r="Q6" s="15" t="s">
        <v>52</v>
      </c>
      <c r="R6" s="42" t="s">
        <v>53</v>
      </c>
      <c r="S6" s="25"/>
      <c r="T6" s="25"/>
      <c r="U6" s="25"/>
      <c r="V6" s="25"/>
      <c r="W6" s="15" t="s">
        <v>52</v>
      </c>
      <c r="AC6" s="15" t="s">
        <v>54</v>
      </c>
      <c r="AD6" s="42" t="s">
        <v>54</v>
      </c>
      <c r="AE6" s="25"/>
      <c r="AF6" s="25"/>
      <c r="AG6" s="15" t="s">
        <v>54</v>
      </c>
      <c r="AH6" s="42" t="s">
        <v>55</v>
      </c>
      <c r="AI6" s="25"/>
      <c r="AJ6" s="42" t="s">
        <v>54</v>
      </c>
      <c r="AK6" s="25"/>
      <c r="AL6" s="42" t="s">
        <v>54</v>
      </c>
      <c r="AM6" s="25"/>
    </row>
    <row r="7" spans="1:39" ht="12.5" customHeight="1" x14ac:dyDescent="0.35">
      <c r="A7" s="16" t="s">
        <v>56</v>
      </c>
      <c r="C7" s="46" t="s">
        <v>57</v>
      </c>
      <c r="D7" s="25"/>
      <c r="E7" s="25"/>
      <c r="F7" s="25"/>
      <c r="J7" s="15" t="s">
        <v>58</v>
      </c>
      <c r="K7" s="15" t="s">
        <v>59</v>
      </c>
      <c r="L7" s="25"/>
      <c r="M7" s="25"/>
      <c r="N7" s="25"/>
      <c r="P7" s="15" t="s">
        <v>60</v>
      </c>
      <c r="Q7" s="15" t="s">
        <v>61</v>
      </c>
      <c r="R7" s="42" t="s">
        <v>61</v>
      </c>
      <c r="S7" s="25"/>
      <c r="T7" s="25"/>
      <c r="U7" s="25"/>
      <c r="V7" s="25"/>
      <c r="W7" s="15" t="s">
        <v>62</v>
      </c>
      <c r="X7" s="15" t="s">
        <v>54</v>
      </c>
      <c r="Z7" s="42" t="s">
        <v>63</v>
      </c>
      <c r="AA7" s="25"/>
      <c r="AB7" s="15" t="s">
        <v>64</v>
      </c>
      <c r="AC7" s="15" t="s">
        <v>65</v>
      </c>
      <c r="AD7" s="42" t="s">
        <v>66</v>
      </c>
      <c r="AE7" s="25"/>
      <c r="AF7" s="25"/>
      <c r="AG7" s="15" t="s">
        <v>67</v>
      </c>
      <c r="AH7" s="42" t="s">
        <v>68</v>
      </c>
      <c r="AI7" s="25"/>
      <c r="AJ7" s="42" t="s">
        <v>69</v>
      </c>
      <c r="AK7" s="25"/>
      <c r="AL7" s="42" t="s">
        <v>70</v>
      </c>
      <c r="AM7" s="25"/>
    </row>
    <row r="8" spans="1:39" ht="11" customHeight="1" x14ac:dyDescent="0.35">
      <c r="A8" s="17">
        <v>2</v>
      </c>
      <c r="C8" s="41" t="s">
        <v>138</v>
      </c>
      <c r="D8" s="25"/>
      <c r="E8" s="25"/>
      <c r="F8" s="25"/>
      <c r="G8" s="25"/>
      <c r="H8" s="25"/>
      <c r="I8" s="25"/>
      <c r="J8" s="18">
        <v>39965</v>
      </c>
      <c r="K8" s="51">
        <v>46173</v>
      </c>
      <c r="L8" s="25"/>
      <c r="M8" s="25"/>
      <c r="N8" s="19">
        <f ca="1">IF(MAX(0,VALUE(AC8)-VALUE(AE8)-IF(AND(ISNUMBER(W8),ISNUMBER(X8)),X8,0))&lt;=0,0,IF(R8&lt;$D$3,1,0))</f>
        <v>0</v>
      </c>
      <c r="O8" s="48" t="str">
        <f ca="1">IF(MAX(0,VALUE(AC8)-VALUE(AE8)-IF(AND(ISNUMBER(W8),ISNUMBER(X8)),X8,0))&lt;=0,"00/12",TEXT(MIN(11,MAX(0,DATEDIF(Q8,$D$3,"M"))),"00")&amp;"/12")</f>
        <v>11/12</v>
      </c>
      <c r="P8" s="25"/>
      <c r="Q8" s="18">
        <v>45809</v>
      </c>
      <c r="R8" s="51">
        <v>46173</v>
      </c>
      <c r="S8" s="25"/>
      <c r="T8" s="25"/>
      <c r="U8" s="25"/>
      <c r="W8" s="21" t="s">
        <v>73</v>
      </c>
      <c r="X8" s="21" t="s">
        <v>74</v>
      </c>
      <c r="Y8" s="48" t="s">
        <v>74</v>
      </c>
      <c r="Z8" s="25"/>
      <c r="AA8" s="25"/>
      <c r="AB8" s="20" t="s">
        <v>74</v>
      </c>
      <c r="AC8" s="20" t="s">
        <v>88</v>
      </c>
      <c r="AE8" s="48" t="s">
        <v>139</v>
      </c>
      <c r="AF8" s="25"/>
      <c r="AG8" s="20">
        <f>MAX(0,VALUE(AC8)-VALUE(AE8)-IF(AND(ISNUMBER(W8),ISNUMBER(X8)),X8,0))</f>
        <v>30</v>
      </c>
      <c r="AH8" s="51">
        <v>46509</v>
      </c>
      <c r="AI8" s="25"/>
      <c r="AJ8" s="48" t="s">
        <v>75</v>
      </c>
      <c r="AK8" s="25"/>
      <c r="AL8" s="48" t="s">
        <v>75</v>
      </c>
      <c r="AM8" s="25"/>
    </row>
    <row r="9" spans="1:39" ht="12.5" customHeight="1" x14ac:dyDescent="0.35">
      <c r="AF9" s="46"/>
      <c r="AG9" s="25"/>
      <c r="AH9" s="25"/>
      <c r="AI9" s="25"/>
      <c r="AJ9" s="25"/>
      <c r="AK9" s="45"/>
      <c r="AL9" s="25"/>
      <c r="AM9" s="25"/>
    </row>
    <row r="10" spans="1:39" ht="14" customHeight="1" x14ac:dyDescent="0.35">
      <c r="A10" s="46"/>
      <c r="B10" s="25"/>
      <c r="C10" s="25"/>
      <c r="D10" s="25"/>
      <c r="F10" s="4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9" ht="15.75" customHeight="1" x14ac:dyDescent="0.35">
      <c r="A11" s="4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</sheetData>
  <mergeCells count="41">
    <mergeCell ref="AL7:AM7"/>
    <mergeCell ref="AE8:AF8"/>
    <mergeCell ref="V3:Z3"/>
    <mergeCell ref="D3:G3"/>
    <mergeCell ref="AD6:AF6"/>
    <mergeCell ref="C8:I8"/>
    <mergeCell ref="AL6:AM6"/>
    <mergeCell ref="C7:F7"/>
    <mergeCell ref="A3:C3"/>
    <mergeCell ref="O8:P8"/>
    <mergeCell ref="A5:W5"/>
    <mergeCell ref="AJ1:AM1"/>
    <mergeCell ref="A10:D10"/>
    <mergeCell ref="A1:K1"/>
    <mergeCell ref="A2:C2"/>
    <mergeCell ref="AH8:AI8"/>
    <mergeCell ref="AJ8:AK8"/>
    <mergeCell ref="K8:M8"/>
    <mergeCell ref="R7:V7"/>
    <mergeCell ref="Z7:AA7"/>
    <mergeCell ref="R8:U8"/>
    <mergeCell ref="R6:V6"/>
    <mergeCell ref="D2:H2"/>
    <mergeCell ref="AJ7:AK7"/>
    <mergeCell ref="N4:T4"/>
    <mergeCell ref="T1:W1"/>
    <mergeCell ref="A11:R11"/>
    <mergeCell ref="AH7:AI7"/>
    <mergeCell ref="AJ3:AM3"/>
    <mergeCell ref="F10:AL10"/>
    <mergeCell ref="AK9:AM9"/>
    <mergeCell ref="K6:L6"/>
    <mergeCell ref="AF9:AJ9"/>
    <mergeCell ref="AJ2:AM2"/>
    <mergeCell ref="AD7:AF7"/>
    <mergeCell ref="M6:N6"/>
    <mergeCell ref="AH6:AI6"/>
    <mergeCell ref="AJ6:AK6"/>
    <mergeCell ref="Y8:AA8"/>
    <mergeCell ref="L7:N7"/>
    <mergeCell ref="AL8:AM8"/>
  </mergeCells>
  <pageMargins left="0.75" right="0.74791666666666701" top="1" bottom="0.7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1"/>
  <sheetViews>
    <sheetView topLeftCell="A37" workbookViewId="0">
      <selection activeCell="A84" sqref="A84"/>
    </sheetView>
  </sheetViews>
  <sheetFormatPr defaultColWidth="9.08984375" defaultRowHeight="12.75" customHeight="1" x14ac:dyDescent="0.35"/>
  <cols>
    <col min="1" max="1" width="7.36328125" customWidth="1"/>
    <col min="2" max="2" width="7.1796875" customWidth="1"/>
    <col min="3" max="3" width="2.26953125" customWidth="1"/>
    <col min="4" max="4" width="3.54296875" customWidth="1"/>
    <col min="5" max="5" width="1.54296875" customWidth="1"/>
    <col min="6" max="6" width="6.81640625" customWidth="1"/>
    <col min="7" max="7" width="5" customWidth="1"/>
    <col min="8" max="8" width="14.36328125" customWidth="1"/>
    <col min="9" max="9" width="5" customWidth="1"/>
    <col min="10" max="10" width="11.36328125" customWidth="1"/>
    <col min="11" max="11" width="10.08984375" customWidth="1"/>
    <col min="12" max="13" width="1" customWidth="1"/>
    <col min="14" max="14" width="4.08984375" customWidth="1"/>
    <col min="15" max="15" width="1" customWidth="1"/>
    <col min="16" max="16" width="6.08984375" customWidth="1"/>
    <col min="17" max="17" width="13.7265625" customWidth="1"/>
    <col min="18" max="18" width="3" customWidth="1"/>
    <col min="19" max="19" width="2.08984375" customWidth="1"/>
    <col min="20" max="20" width="6.26953125" customWidth="1"/>
    <col min="21" max="21" width="3.7265625" customWidth="1"/>
    <col min="22" max="22" width="1.54296875" customWidth="1"/>
    <col min="23" max="23" width="11.6328125" customWidth="1"/>
    <col min="24" max="24" width="5.6328125" customWidth="1"/>
    <col min="25" max="25" width="1" customWidth="1"/>
    <col min="26" max="26" width="3.81640625" customWidth="1"/>
    <col min="27" max="27" width="3.6328125" customWidth="1"/>
    <col min="28" max="28" width="6" customWidth="1"/>
    <col min="29" max="29" width="5.6328125" customWidth="1"/>
    <col min="30" max="30" width="1" customWidth="1"/>
    <col min="31" max="31" width="2" customWidth="1"/>
    <col min="32" max="32" width="4.26953125" customWidth="1"/>
    <col min="33" max="33" width="6" customWidth="1"/>
    <col min="34" max="34" width="3" customWidth="1"/>
    <col min="35" max="35" width="7.54296875" customWidth="1"/>
    <col min="36" max="36" width="1" customWidth="1"/>
    <col min="37" max="37" width="6" customWidth="1"/>
    <col min="38" max="38" width="1.54296875" customWidth="1"/>
    <col min="39" max="39" width="4.81640625" customWidth="1"/>
  </cols>
  <sheetData>
    <row r="1" spans="1:39" ht="10.5" customHeight="1" x14ac:dyDescent="0.35">
      <c r="A1" s="35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T1" s="33" t="s">
        <v>40</v>
      </c>
      <c r="U1" s="25"/>
      <c r="V1" s="25"/>
      <c r="W1" s="25"/>
      <c r="AI1" s="2" t="s">
        <v>41</v>
      </c>
      <c r="AJ1" s="36" t="s">
        <v>42</v>
      </c>
      <c r="AK1" s="25"/>
      <c r="AL1" s="25"/>
      <c r="AM1" s="25"/>
    </row>
    <row r="2" spans="1:39" ht="11.25" customHeight="1" x14ac:dyDescent="0.35">
      <c r="A2" s="31" t="s">
        <v>43</v>
      </c>
      <c r="B2" s="25"/>
      <c r="C2" s="25"/>
      <c r="D2" s="33" t="s">
        <v>44</v>
      </c>
      <c r="E2" s="25"/>
      <c r="F2" s="25"/>
      <c r="G2" s="25"/>
      <c r="H2" s="25"/>
      <c r="AI2" s="2" t="s">
        <v>45</v>
      </c>
      <c r="AJ2" s="40">
        <v>46168.436840277784</v>
      </c>
      <c r="AK2" s="25"/>
      <c r="AL2" s="25"/>
      <c r="AM2" s="25"/>
    </row>
    <row r="3" spans="1:39" ht="12" customHeight="1" x14ac:dyDescent="0.35">
      <c r="A3" s="38" t="s">
        <v>46</v>
      </c>
      <c r="B3" s="25"/>
      <c r="C3" s="25"/>
      <c r="D3" s="34">
        <f ca="1">TODAY()</f>
        <v>46169</v>
      </c>
      <c r="E3" s="25"/>
      <c r="F3" s="25"/>
      <c r="G3" s="25"/>
      <c r="V3" s="33" t="s">
        <v>40</v>
      </c>
      <c r="W3" s="25"/>
      <c r="X3" s="25"/>
      <c r="Y3" s="25"/>
      <c r="Z3" s="25"/>
      <c r="AI3" s="2" t="s">
        <v>47</v>
      </c>
      <c r="AJ3" s="39">
        <v>46168.436840277784</v>
      </c>
      <c r="AK3" s="25"/>
      <c r="AL3" s="25"/>
      <c r="AM3" s="25"/>
    </row>
    <row r="4" spans="1:39" ht="11.25" customHeight="1" x14ac:dyDescent="0.35">
      <c r="N4" s="32" t="s">
        <v>48</v>
      </c>
      <c r="O4" s="25"/>
      <c r="P4" s="25"/>
      <c r="Q4" s="25"/>
      <c r="R4" s="25"/>
      <c r="S4" s="25"/>
      <c r="T4" s="25"/>
    </row>
    <row r="5" spans="1:39" ht="12" customHeight="1" x14ac:dyDescent="0.35">
      <c r="A5" s="3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39" ht="10.5" customHeight="1" x14ac:dyDescent="0.35">
      <c r="J6" s="3" t="s">
        <v>49</v>
      </c>
      <c r="K6" s="32" t="s">
        <v>50</v>
      </c>
      <c r="L6" s="25"/>
      <c r="M6" s="32" t="s">
        <v>51</v>
      </c>
      <c r="N6" s="25"/>
      <c r="P6" s="3" t="s">
        <v>51</v>
      </c>
      <c r="Q6" s="3" t="s">
        <v>52</v>
      </c>
      <c r="R6" s="32" t="s">
        <v>53</v>
      </c>
      <c r="S6" s="25"/>
      <c r="T6" s="25"/>
      <c r="U6" s="25"/>
      <c r="V6" s="25"/>
      <c r="W6" s="3" t="s">
        <v>52</v>
      </c>
      <c r="AC6" s="3" t="s">
        <v>54</v>
      </c>
      <c r="AD6" s="32" t="s">
        <v>54</v>
      </c>
      <c r="AE6" s="25"/>
      <c r="AF6" s="25"/>
      <c r="AG6" s="3" t="s">
        <v>54</v>
      </c>
      <c r="AH6" s="32" t="s">
        <v>55</v>
      </c>
      <c r="AI6" s="25"/>
      <c r="AJ6" s="32" t="s">
        <v>54</v>
      </c>
      <c r="AK6" s="25"/>
      <c r="AL6" s="32" t="s">
        <v>54</v>
      </c>
      <c r="AM6" s="25"/>
    </row>
    <row r="7" spans="1:39" ht="12" customHeight="1" x14ac:dyDescent="0.35">
      <c r="A7" s="4" t="s">
        <v>56</v>
      </c>
      <c r="C7" s="35" t="s">
        <v>57</v>
      </c>
      <c r="D7" s="25"/>
      <c r="E7" s="25"/>
      <c r="F7" s="25"/>
      <c r="J7" s="3" t="s">
        <v>58</v>
      </c>
      <c r="K7" s="3" t="s">
        <v>59</v>
      </c>
      <c r="L7" s="25"/>
      <c r="M7" s="25"/>
      <c r="N7" s="25"/>
      <c r="P7" s="3" t="s">
        <v>60</v>
      </c>
      <c r="Q7" s="3" t="s">
        <v>61</v>
      </c>
      <c r="R7" s="32" t="s">
        <v>61</v>
      </c>
      <c r="S7" s="25"/>
      <c r="T7" s="25"/>
      <c r="U7" s="25"/>
      <c r="V7" s="25"/>
      <c r="W7" s="3" t="s">
        <v>62</v>
      </c>
      <c r="X7" s="3" t="s">
        <v>54</v>
      </c>
      <c r="Z7" s="32" t="s">
        <v>63</v>
      </c>
      <c r="AA7" s="25"/>
      <c r="AB7" s="3" t="s">
        <v>64</v>
      </c>
      <c r="AC7" s="3" t="s">
        <v>65</v>
      </c>
      <c r="AD7" s="32" t="s">
        <v>66</v>
      </c>
      <c r="AE7" s="25"/>
      <c r="AF7" s="25"/>
      <c r="AG7" s="3" t="s">
        <v>67</v>
      </c>
      <c r="AH7" s="32" t="s">
        <v>68</v>
      </c>
      <c r="AI7" s="25"/>
      <c r="AJ7" s="32" t="s">
        <v>69</v>
      </c>
      <c r="AK7" s="25"/>
      <c r="AL7" s="32" t="s">
        <v>70</v>
      </c>
      <c r="AM7" s="25"/>
    </row>
    <row r="8" spans="1:39" ht="10.5" customHeight="1" x14ac:dyDescent="0.35">
      <c r="A8" s="5">
        <v>10060</v>
      </c>
      <c r="B8" t="s">
        <v>71</v>
      </c>
      <c r="C8" s="33" t="s">
        <v>72</v>
      </c>
      <c r="D8" s="25"/>
      <c r="E8" s="25"/>
      <c r="F8" s="25"/>
      <c r="G8" s="25"/>
      <c r="H8" s="25"/>
      <c r="I8" s="25"/>
      <c r="J8" s="6">
        <v>44044</v>
      </c>
      <c r="K8" s="29">
        <v>45869</v>
      </c>
      <c r="L8" s="25"/>
      <c r="M8" s="25"/>
      <c r="N8" s="7">
        <f t="shared" ref="N8:N39" ca="1" si="0">IF(MAX(0,AC8-AE8-IF(AND(ISNUMBER(W8),ISNUMBER(X8)),X8,0))&lt;=0,0,IF(R8&lt;$D$3,1,0))</f>
        <v>1</v>
      </c>
      <c r="O8" s="28" t="str">
        <f t="shared" ref="O8:O39" ca="1" si="1">IF(MAX(0,AC8-AE8-IF(AND(ISNUMBER(W8),ISNUMBER(X8)),X8,0))&lt;=0,"00/12",TEXT(MIN(11,MAX(0,DATEDIF(Q8,$D$3,"M"))),"00")&amp;"/12")</f>
        <v>11/12</v>
      </c>
      <c r="P8" s="25"/>
      <c r="Q8" s="6">
        <v>45505</v>
      </c>
      <c r="R8" s="29">
        <v>45869</v>
      </c>
      <c r="S8" s="25"/>
      <c r="T8" s="25"/>
      <c r="U8" s="25"/>
      <c r="W8" s="9" t="s">
        <v>73</v>
      </c>
      <c r="X8" s="10" t="s">
        <v>74</v>
      </c>
      <c r="Y8" s="28" t="s">
        <v>74</v>
      </c>
      <c r="Z8" s="25"/>
      <c r="AA8" s="25"/>
      <c r="AB8" s="8" t="s">
        <v>74</v>
      </c>
      <c r="AC8" s="11">
        <f t="shared" ref="AC8:AC39" ca="1" si="2">IF($D$3&gt;=R8,30,MIN(30,MAX(0,DATEDIF(Q8,$D$3,"M"))*2.5))</f>
        <v>30</v>
      </c>
      <c r="AE8" s="30">
        <v>22</v>
      </c>
      <c r="AF8" s="25"/>
      <c r="AG8" s="11">
        <f t="shared" ref="AG8:AG39" ca="1" si="3">MAX(0,AC8-AE8-IF(AND(ISNUMBER(W8),ISNUMBER(X8)),X8,0))</f>
        <v>8</v>
      </c>
      <c r="AH8" s="29">
        <f t="shared" ref="AH8:AH39" ca="1" si="4">EDATE(R8,12)-AG8+1</f>
        <v>46227</v>
      </c>
      <c r="AI8" s="25"/>
      <c r="AJ8" s="28" t="s">
        <v>75</v>
      </c>
      <c r="AK8" s="25"/>
      <c r="AL8" s="28" t="s">
        <v>76</v>
      </c>
      <c r="AM8" s="25"/>
    </row>
    <row r="9" spans="1:39" ht="10.5" customHeight="1" x14ac:dyDescent="0.35">
      <c r="N9" s="12">
        <f t="shared" ca="1" si="0"/>
        <v>0</v>
      </c>
      <c r="O9" s="12" t="str">
        <f t="shared" ca="1" si="1"/>
        <v>09/12</v>
      </c>
      <c r="Q9" s="6">
        <v>45870</v>
      </c>
      <c r="R9" s="29">
        <v>46234</v>
      </c>
      <c r="S9" s="25"/>
      <c r="T9" s="25"/>
      <c r="U9" s="25"/>
      <c r="W9" s="9" t="s">
        <v>73</v>
      </c>
      <c r="X9" s="10" t="s">
        <v>74</v>
      </c>
      <c r="Y9" s="28" t="s">
        <v>74</v>
      </c>
      <c r="Z9" s="25"/>
      <c r="AA9" s="25"/>
      <c r="AB9" s="8" t="s">
        <v>74</v>
      </c>
      <c r="AC9" s="11">
        <f t="shared" ca="1" si="2"/>
        <v>22.5</v>
      </c>
      <c r="AE9" s="30">
        <v>0</v>
      </c>
      <c r="AF9" s="25"/>
      <c r="AG9" s="11">
        <f t="shared" ca="1" si="3"/>
        <v>22.5</v>
      </c>
      <c r="AH9" s="29">
        <f t="shared" ca="1" si="4"/>
        <v>46577.5</v>
      </c>
      <c r="AI9" s="25"/>
      <c r="AJ9" s="28" t="s">
        <v>75</v>
      </c>
      <c r="AK9" s="25"/>
      <c r="AL9" s="28" t="s">
        <v>75</v>
      </c>
      <c r="AM9" s="25"/>
    </row>
    <row r="10" spans="1:39" ht="10.5" customHeight="1" x14ac:dyDescent="0.35">
      <c r="A10" s="5">
        <v>10078</v>
      </c>
      <c r="B10" t="s">
        <v>71</v>
      </c>
      <c r="C10" s="33" t="s">
        <v>77</v>
      </c>
      <c r="D10" s="25"/>
      <c r="E10" s="25"/>
      <c r="F10" s="25"/>
      <c r="G10" s="25"/>
      <c r="H10" s="25"/>
      <c r="I10" s="25"/>
      <c r="J10" s="6">
        <v>44440</v>
      </c>
      <c r="K10" s="29">
        <v>45900</v>
      </c>
      <c r="L10" s="25"/>
      <c r="M10" s="25"/>
      <c r="N10" s="7">
        <f t="shared" ca="1" si="0"/>
        <v>1</v>
      </c>
      <c r="O10" s="28" t="str">
        <f t="shared" ca="1" si="1"/>
        <v>11/12</v>
      </c>
      <c r="P10" s="25"/>
      <c r="Q10" s="6">
        <v>45536</v>
      </c>
      <c r="R10" s="29">
        <v>45900</v>
      </c>
      <c r="S10" s="25"/>
      <c r="T10" s="25"/>
      <c r="U10" s="25"/>
      <c r="W10" s="9" t="s">
        <v>73</v>
      </c>
      <c r="X10" s="10" t="s">
        <v>74</v>
      </c>
      <c r="Y10" s="28" t="s">
        <v>74</v>
      </c>
      <c r="Z10" s="25"/>
      <c r="AA10" s="25"/>
      <c r="AB10" s="8" t="s">
        <v>74</v>
      </c>
      <c r="AC10" s="11">
        <f t="shared" ca="1" si="2"/>
        <v>30</v>
      </c>
      <c r="AE10" s="30">
        <v>23</v>
      </c>
      <c r="AF10" s="25"/>
      <c r="AG10" s="11">
        <f t="shared" ca="1" si="3"/>
        <v>7</v>
      </c>
      <c r="AH10" s="29">
        <f t="shared" ca="1" si="4"/>
        <v>46259</v>
      </c>
      <c r="AI10" s="25"/>
      <c r="AJ10" s="28" t="s">
        <v>75</v>
      </c>
      <c r="AK10" s="25"/>
      <c r="AL10" s="28" t="s">
        <v>75</v>
      </c>
      <c r="AM10" s="25"/>
    </row>
    <row r="11" spans="1:39" ht="10.5" customHeight="1" x14ac:dyDescent="0.35">
      <c r="N11" s="12">
        <f t="shared" ca="1" si="0"/>
        <v>0</v>
      </c>
      <c r="O11" s="12" t="str">
        <f t="shared" ca="1" si="1"/>
        <v>08/12</v>
      </c>
      <c r="Q11" s="6">
        <v>45901</v>
      </c>
      <c r="R11" s="29">
        <v>46265</v>
      </c>
      <c r="S11" s="25"/>
      <c r="T11" s="25"/>
      <c r="U11" s="25"/>
      <c r="W11" s="9" t="s">
        <v>73</v>
      </c>
      <c r="X11" s="10" t="s">
        <v>74</v>
      </c>
      <c r="Y11" s="28" t="s">
        <v>74</v>
      </c>
      <c r="Z11" s="25"/>
      <c r="AA11" s="25"/>
      <c r="AB11" s="8" t="s">
        <v>74</v>
      </c>
      <c r="AC11" s="11">
        <f t="shared" ca="1" si="2"/>
        <v>20</v>
      </c>
      <c r="AE11" s="30">
        <v>0</v>
      </c>
      <c r="AF11" s="25"/>
      <c r="AG11" s="11">
        <f t="shared" ca="1" si="3"/>
        <v>20</v>
      </c>
      <c r="AH11" s="29">
        <f t="shared" ca="1" si="4"/>
        <v>46611</v>
      </c>
      <c r="AI11" s="25"/>
      <c r="AJ11" s="28" t="s">
        <v>75</v>
      </c>
      <c r="AK11" s="25"/>
      <c r="AL11" s="28" t="s">
        <v>75</v>
      </c>
      <c r="AM11" s="25"/>
    </row>
    <row r="12" spans="1:39" ht="10.5" customHeight="1" x14ac:dyDescent="0.35">
      <c r="A12" s="5">
        <v>10113</v>
      </c>
      <c r="B12" t="s">
        <v>78</v>
      </c>
      <c r="C12" s="33" t="s">
        <v>79</v>
      </c>
      <c r="D12" s="25"/>
      <c r="E12" s="25"/>
      <c r="F12" s="25"/>
      <c r="G12" s="25"/>
      <c r="H12" s="25"/>
      <c r="I12" s="25"/>
      <c r="J12" s="6">
        <v>45201</v>
      </c>
      <c r="K12" s="29">
        <v>45931</v>
      </c>
      <c r="L12" s="25"/>
      <c r="M12" s="25"/>
      <c r="N12" s="7">
        <f t="shared" ca="1" si="0"/>
        <v>0</v>
      </c>
      <c r="O12" s="28" t="str">
        <f t="shared" ca="1" si="1"/>
        <v>00/12</v>
      </c>
      <c r="P12" s="25"/>
      <c r="Q12" s="6">
        <v>45567</v>
      </c>
      <c r="R12" s="29">
        <v>45931</v>
      </c>
      <c r="S12" s="25"/>
      <c r="T12" s="25"/>
      <c r="U12" s="25"/>
      <c r="W12" s="9">
        <v>46174</v>
      </c>
      <c r="X12" s="10">
        <v>30</v>
      </c>
      <c r="Y12" s="28" t="s">
        <v>74</v>
      </c>
      <c r="Z12" s="25"/>
      <c r="AA12" s="25"/>
      <c r="AB12" s="8" t="s">
        <v>74</v>
      </c>
      <c r="AC12" s="11">
        <f t="shared" ca="1" si="2"/>
        <v>30</v>
      </c>
      <c r="AE12" s="30">
        <v>0</v>
      </c>
      <c r="AF12" s="25"/>
      <c r="AG12" s="11">
        <f t="shared" ca="1" si="3"/>
        <v>0</v>
      </c>
      <c r="AH12" s="29">
        <f t="shared" ca="1" si="4"/>
        <v>46297</v>
      </c>
      <c r="AI12" s="25"/>
      <c r="AJ12" s="28" t="s">
        <v>80</v>
      </c>
      <c r="AK12" s="25"/>
      <c r="AL12" s="28" t="s">
        <v>75</v>
      </c>
      <c r="AM12" s="25"/>
    </row>
    <row r="13" spans="1:39" ht="10.5" customHeight="1" x14ac:dyDescent="0.35">
      <c r="N13" s="12">
        <f t="shared" ca="1" si="0"/>
        <v>0</v>
      </c>
      <c r="O13" s="12" t="str">
        <f t="shared" ca="1" si="1"/>
        <v>07/12</v>
      </c>
      <c r="Q13" s="6">
        <v>45932</v>
      </c>
      <c r="R13" s="29">
        <v>46296</v>
      </c>
      <c r="S13" s="25"/>
      <c r="T13" s="25"/>
      <c r="U13" s="25"/>
      <c r="W13" s="9" t="s">
        <v>73</v>
      </c>
      <c r="X13" s="10" t="s">
        <v>74</v>
      </c>
      <c r="Y13" s="28" t="s">
        <v>74</v>
      </c>
      <c r="Z13" s="25"/>
      <c r="AA13" s="25"/>
      <c r="AB13" s="8" t="s">
        <v>74</v>
      </c>
      <c r="AC13" s="11">
        <f t="shared" ca="1" si="2"/>
        <v>17.5</v>
      </c>
      <c r="AE13" s="30">
        <v>0</v>
      </c>
      <c r="AF13" s="25"/>
      <c r="AG13" s="11">
        <f t="shared" ca="1" si="3"/>
        <v>17.5</v>
      </c>
      <c r="AH13" s="29">
        <f t="shared" ca="1" si="4"/>
        <v>46644.5</v>
      </c>
      <c r="AI13" s="25"/>
      <c r="AJ13" s="28" t="s">
        <v>75</v>
      </c>
      <c r="AK13" s="25"/>
      <c r="AL13" s="28" t="s">
        <v>75</v>
      </c>
      <c r="AM13" s="25"/>
    </row>
    <row r="14" spans="1:39" ht="10.5" customHeight="1" x14ac:dyDescent="0.35">
      <c r="A14" s="5">
        <v>10066</v>
      </c>
      <c r="B14" t="s">
        <v>81</v>
      </c>
      <c r="C14" s="33" t="s">
        <v>82</v>
      </c>
      <c r="D14" s="25"/>
      <c r="E14" s="25"/>
      <c r="F14" s="25"/>
      <c r="G14" s="25"/>
      <c r="H14" s="25"/>
      <c r="I14" s="25"/>
      <c r="J14" s="6">
        <v>44139</v>
      </c>
      <c r="K14" s="29">
        <v>45964</v>
      </c>
      <c r="L14" s="25"/>
      <c r="M14" s="25"/>
      <c r="N14" s="7">
        <f t="shared" ca="1" si="0"/>
        <v>1</v>
      </c>
      <c r="O14" s="28" t="str">
        <f t="shared" ca="1" si="1"/>
        <v>11/12</v>
      </c>
      <c r="P14" s="25"/>
      <c r="Q14" s="6">
        <v>45600</v>
      </c>
      <c r="R14" s="29">
        <v>45964</v>
      </c>
      <c r="S14" s="25"/>
      <c r="T14" s="25"/>
      <c r="U14" s="25"/>
      <c r="W14" s="9" t="s">
        <v>73</v>
      </c>
      <c r="X14" s="10" t="s">
        <v>74</v>
      </c>
      <c r="Y14" s="28" t="s">
        <v>74</v>
      </c>
      <c r="Z14" s="25"/>
      <c r="AA14" s="25"/>
      <c r="AB14" s="8" t="s">
        <v>74</v>
      </c>
      <c r="AC14" s="11">
        <f t="shared" ca="1" si="2"/>
        <v>30</v>
      </c>
      <c r="AE14" s="30">
        <v>15</v>
      </c>
      <c r="AF14" s="25"/>
      <c r="AG14" s="11">
        <f t="shared" ca="1" si="3"/>
        <v>15</v>
      </c>
      <c r="AH14" s="29">
        <f t="shared" ca="1" si="4"/>
        <v>46315</v>
      </c>
      <c r="AI14" s="25"/>
      <c r="AJ14" s="28" t="s">
        <v>75</v>
      </c>
      <c r="AK14" s="25"/>
      <c r="AL14" s="28" t="s">
        <v>75</v>
      </c>
      <c r="AM14" s="25"/>
    </row>
    <row r="15" spans="1:39" ht="10.5" customHeight="1" x14ac:dyDescent="0.35">
      <c r="N15" s="12">
        <f t="shared" ca="1" si="0"/>
        <v>0</v>
      </c>
      <c r="O15" s="12" t="str">
        <f t="shared" ca="1" si="1"/>
        <v>06/12</v>
      </c>
      <c r="Q15" s="6">
        <v>45965</v>
      </c>
      <c r="R15" s="29">
        <v>46329</v>
      </c>
      <c r="S15" s="25"/>
      <c r="T15" s="25"/>
      <c r="U15" s="25"/>
      <c r="W15" s="9" t="s">
        <v>73</v>
      </c>
      <c r="X15" s="10" t="s">
        <v>74</v>
      </c>
      <c r="Y15" s="28" t="s">
        <v>74</v>
      </c>
      <c r="Z15" s="25"/>
      <c r="AA15" s="25"/>
      <c r="AB15" s="8" t="s">
        <v>74</v>
      </c>
      <c r="AC15" s="11">
        <f t="shared" ca="1" si="2"/>
        <v>15</v>
      </c>
      <c r="AE15" s="30">
        <v>0</v>
      </c>
      <c r="AF15" s="25"/>
      <c r="AG15" s="11">
        <f t="shared" ca="1" si="3"/>
        <v>15</v>
      </c>
      <c r="AH15" s="29">
        <f t="shared" ca="1" si="4"/>
        <v>46680</v>
      </c>
      <c r="AI15" s="25"/>
      <c r="AJ15" s="28" t="s">
        <v>75</v>
      </c>
      <c r="AK15" s="25"/>
      <c r="AL15" s="28" t="s">
        <v>75</v>
      </c>
      <c r="AM15" s="25"/>
    </row>
    <row r="16" spans="1:39" ht="10.5" customHeight="1" x14ac:dyDescent="0.35">
      <c r="A16" s="5">
        <v>10128</v>
      </c>
      <c r="B16" t="s">
        <v>83</v>
      </c>
      <c r="C16" s="33" t="s">
        <v>84</v>
      </c>
      <c r="D16" s="25"/>
      <c r="E16" s="25"/>
      <c r="F16" s="25"/>
      <c r="G16" s="25"/>
      <c r="H16" s="25"/>
      <c r="I16" s="25"/>
      <c r="J16" s="6">
        <v>45607</v>
      </c>
      <c r="K16" s="29">
        <v>45971</v>
      </c>
      <c r="L16" s="25"/>
      <c r="M16" s="25"/>
      <c r="N16" s="7">
        <f t="shared" ca="1" si="0"/>
        <v>1</v>
      </c>
      <c r="O16" s="28" t="str">
        <f t="shared" ca="1" si="1"/>
        <v>11/12</v>
      </c>
      <c r="P16" s="25"/>
      <c r="Q16" s="6">
        <v>45607</v>
      </c>
      <c r="R16" s="29">
        <v>45971</v>
      </c>
      <c r="S16" s="25"/>
      <c r="T16" s="25"/>
      <c r="U16" s="25"/>
      <c r="W16" s="9" t="s">
        <v>73</v>
      </c>
      <c r="X16" s="10" t="s">
        <v>74</v>
      </c>
      <c r="Y16" s="28" t="s">
        <v>74</v>
      </c>
      <c r="Z16" s="25"/>
      <c r="AA16" s="25"/>
      <c r="AB16" s="8" t="s">
        <v>74</v>
      </c>
      <c r="AC16" s="11">
        <f t="shared" ca="1" si="2"/>
        <v>30</v>
      </c>
      <c r="AE16" s="30">
        <v>22</v>
      </c>
      <c r="AF16" s="25"/>
      <c r="AG16" s="11">
        <f t="shared" ca="1" si="3"/>
        <v>8</v>
      </c>
      <c r="AH16" s="29">
        <f t="shared" ca="1" si="4"/>
        <v>46329</v>
      </c>
      <c r="AI16" s="25"/>
      <c r="AJ16" s="28" t="s">
        <v>75</v>
      </c>
      <c r="AK16" s="25"/>
      <c r="AL16" s="28" t="s">
        <v>75</v>
      </c>
      <c r="AM16" s="25"/>
    </row>
    <row r="17" spans="1:39" ht="10.5" customHeight="1" x14ac:dyDescent="0.35">
      <c r="N17" s="12">
        <f t="shared" ca="1" si="0"/>
        <v>0</v>
      </c>
      <c r="O17" s="12" t="str">
        <f t="shared" ca="1" si="1"/>
        <v>06/12</v>
      </c>
      <c r="Q17" s="6">
        <v>45972</v>
      </c>
      <c r="R17" s="29">
        <v>46336</v>
      </c>
      <c r="S17" s="25"/>
      <c r="T17" s="25"/>
      <c r="U17" s="25"/>
      <c r="W17" s="9" t="s">
        <v>73</v>
      </c>
      <c r="X17" s="10" t="s">
        <v>74</v>
      </c>
      <c r="Y17" s="28" t="s">
        <v>74</v>
      </c>
      <c r="Z17" s="25"/>
      <c r="AA17" s="25"/>
      <c r="AB17" s="8" t="s">
        <v>74</v>
      </c>
      <c r="AC17" s="11">
        <f t="shared" ca="1" si="2"/>
        <v>15</v>
      </c>
      <c r="AE17" s="30">
        <v>0</v>
      </c>
      <c r="AF17" s="25"/>
      <c r="AG17" s="11">
        <f t="shared" ca="1" si="3"/>
        <v>15</v>
      </c>
      <c r="AH17" s="29">
        <f t="shared" ca="1" si="4"/>
        <v>46687</v>
      </c>
      <c r="AI17" s="25"/>
      <c r="AJ17" s="28" t="s">
        <v>75</v>
      </c>
      <c r="AK17" s="25"/>
      <c r="AL17" s="28" t="s">
        <v>76</v>
      </c>
      <c r="AM17" s="25"/>
    </row>
    <row r="18" spans="1:39" ht="10.5" customHeight="1" x14ac:dyDescent="0.35">
      <c r="A18" s="5">
        <v>10058</v>
      </c>
      <c r="B18" t="s">
        <v>83</v>
      </c>
      <c r="C18" s="33" t="s">
        <v>85</v>
      </c>
      <c r="D18" s="25"/>
      <c r="E18" s="25"/>
      <c r="F18" s="25"/>
      <c r="G18" s="25"/>
      <c r="H18" s="25"/>
      <c r="I18" s="25"/>
      <c r="J18" s="6">
        <v>44148</v>
      </c>
      <c r="K18" s="29">
        <v>45973</v>
      </c>
      <c r="L18" s="25"/>
      <c r="M18" s="25"/>
      <c r="N18" s="7">
        <f t="shared" ca="1" si="0"/>
        <v>1</v>
      </c>
      <c r="O18" s="28" t="str">
        <f t="shared" ca="1" si="1"/>
        <v>11/12</v>
      </c>
      <c r="P18" s="25"/>
      <c r="Q18" s="6">
        <v>45609</v>
      </c>
      <c r="R18" s="29">
        <v>45973</v>
      </c>
      <c r="S18" s="25"/>
      <c r="T18" s="25"/>
      <c r="U18" s="25"/>
      <c r="W18" s="9" t="s">
        <v>73</v>
      </c>
      <c r="X18" s="10" t="s">
        <v>74</v>
      </c>
      <c r="Y18" s="28" t="s">
        <v>74</v>
      </c>
      <c r="Z18" s="25"/>
      <c r="AA18" s="25"/>
      <c r="AB18" s="8" t="s">
        <v>74</v>
      </c>
      <c r="AC18" s="11">
        <f t="shared" ca="1" si="2"/>
        <v>30</v>
      </c>
      <c r="AE18" s="30">
        <v>15</v>
      </c>
      <c r="AF18" s="25"/>
      <c r="AG18" s="11">
        <f t="shared" ca="1" si="3"/>
        <v>15</v>
      </c>
      <c r="AH18" s="29">
        <f t="shared" ca="1" si="4"/>
        <v>46324</v>
      </c>
      <c r="AI18" s="25"/>
      <c r="AJ18" s="28" t="s">
        <v>75</v>
      </c>
      <c r="AK18" s="25"/>
      <c r="AL18" s="28" t="s">
        <v>75</v>
      </c>
      <c r="AM18" s="25"/>
    </row>
    <row r="19" spans="1:39" ht="10.5" customHeight="1" x14ac:dyDescent="0.35">
      <c r="N19" s="12">
        <f t="shared" ca="1" si="0"/>
        <v>0</v>
      </c>
      <c r="O19" s="12" t="str">
        <f t="shared" ca="1" si="1"/>
        <v>06/12</v>
      </c>
      <c r="Q19" s="6">
        <v>45974</v>
      </c>
      <c r="R19" s="29">
        <v>46338</v>
      </c>
      <c r="S19" s="25"/>
      <c r="T19" s="25"/>
      <c r="U19" s="25"/>
      <c r="W19" s="9" t="s">
        <v>73</v>
      </c>
      <c r="X19" s="10" t="s">
        <v>74</v>
      </c>
      <c r="Y19" s="28" t="s">
        <v>74</v>
      </c>
      <c r="Z19" s="25"/>
      <c r="AA19" s="25"/>
      <c r="AB19" s="8" t="s">
        <v>74</v>
      </c>
      <c r="AC19" s="11">
        <f t="shared" ca="1" si="2"/>
        <v>15</v>
      </c>
      <c r="AE19" s="30">
        <v>0</v>
      </c>
      <c r="AF19" s="25"/>
      <c r="AG19" s="11">
        <f t="shared" ca="1" si="3"/>
        <v>15</v>
      </c>
      <c r="AH19" s="29">
        <f t="shared" ca="1" si="4"/>
        <v>46689</v>
      </c>
      <c r="AI19" s="25"/>
      <c r="AJ19" s="28" t="s">
        <v>75</v>
      </c>
      <c r="AK19" s="25"/>
      <c r="AL19" s="28" t="s">
        <v>75</v>
      </c>
      <c r="AM19" s="25"/>
    </row>
    <row r="20" spans="1:39" ht="10.5" customHeight="1" x14ac:dyDescent="0.35">
      <c r="A20" s="5">
        <v>10130</v>
      </c>
      <c r="B20" t="s">
        <v>86</v>
      </c>
      <c r="C20" s="33" t="s">
        <v>87</v>
      </c>
      <c r="D20" s="25"/>
      <c r="E20" s="25"/>
      <c r="F20" s="25"/>
      <c r="G20" s="25"/>
      <c r="H20" s="25"/>
      <c r="I20" s="25"/>
      <c r="J20" s="6">
        <v>45628</v>
      </c>
      <c r="K20" s="29">
        <v>45992</v>
      </c>
      <c r="L20" s="25"/>
      <c r="M20" s="25"/>
      <c r="N20" s="7">
        <f t="shared" ca="1" si="0"/>
        <v>1</v>
      </c>
      <c r="O20" s="28" t="str">
        <f t="shared" ca="1" si="1"/>
        <v>11/12</v>
      </c>
      <c r="P20" s="25"/>
      <c r="Q20" s="6">
        <v>45628</v>
      </c>
      <c r="R20" s="29">
        <v>45992</v>
      </c>
      <c r="S20" s="25"/>
      <c r="T20" s="25"/>
      <c r="U20" s="25"/>
      <c r="W20" s="9" t="s">
        <v>73</v>
      </c>
      <c r="X20" s="10" t="s">
        <v>74</v>
      </c>
      <c r="Y20" s="28" t="s">
        <v>74</v>
      </c>
      <c r="Z20" s="25"/>
      <c r="AA20" s="25"/>
      <c r="AB20" s="8" t="s">
        <v>74</v>
      </c>
      <c r="AC20" s="11">
        <f t="shared" ca="1" si="2"/>
        <v>30</v>
      </c>
      <c r="AE20" s="30">
        <v>0</v>
      </c>
      <c r="AF20" s="25"/>
      <c r="AG20" s="11">
        <f t="shared" ca="1" si="3"/>
        <v>30</v>
      </c>
      <c r="AH20" s="29">
        <f t="shared" ca="1" si="4"/>
        <v>46328</v>
      </c>
      <c r="AI20" s="25"/>
      <c r="AJ20" s="28" t="s">
        <v>88</v>
      </c>
      <c r="AK20" s="25"/>
      <c r="AL20" s="28" t="s">
        <v>75</v>
      </c>
      <c r="AM20" s="25"/>
    </row>
    <row r="21" spans="1:39" ht="10.5" customHeight="1" x14ac:dyDescent="0.35">
      <c r="N21" s="12">
        <f t="shared" ca="1" si="0"/>
        <v>0</v>
      </c>
      <c r="O21" s="12" t="str">
        <f t="shared" ca="1" si="1"/>
        <v>05/12</v>
      </c>
      <c r="Q21" s="6">
        <v>45993</v>
      </c>
      <c r="R21" s="29">
        <v>46357</v>
      </c>
      <c r="S21" s="25"/>
      <c r="T21" s="25"/>
      <c r="U21" s="25"/>
      <c r="W21" s="9" t="s">
        <v>73</v>
      </c>
      <c r="X21" s="10" t="s">
        <v>74</v>
      </c>
      <c r="Y21" s="28" t="s">
        <v>74</v>
      </c>
      <c r="Z21" s="25"/>
      <c r="AA21" s="25"/>
      <c r="AB21" s="8" t="s">
        <v>74</v>
      </c>
      <c r="AC21" s="11">
        <f t="shared" ca="1" si="2"/>
        <v>12.5</v>
      </c>
      <c r="AE21" s="30">
        <v>0</v>
      </c>
      <c r="AF21" s="25"/>
      <c r="AG21" s="11">
        <f t="shared" ca="1" si="3"/>
        <v>12.5</v>
      </c>
      <c r="AH21" s="29">
        <f t="shared" ca="1" si="4"/>
        <v>46710.5</v>
      </c>
      <c r="AI21" s="25"/>
      <c r="AJ21" s="28" t="s">
        <v>75</v>
      </c>
      <c r="AK21" s="25"/>
      <c r="AL21" s="28" t="s">
        <v>75</v>
      </c>
      <c r="AM21" s="25"/>
    </row>
    <row r="22" spans="1:39" ht="10.5" customHeight="1" x14ac:dyDescent="0.35">
      <c r="A22" s="5">
        <v>10131</v>
      </c>
      <c r="B22" t="s">
        <v>78</v>
      </c>
      <c r="C22" s="33" t="s">
        <v>89</v>
      </c>
      <c r="D22" s="25"/>
      <c r="E22" s="25"/>
      <c r="F22" s="25"/>
      <c r="G22" s="25"/>
      <c r="H22" s="25"/>
      <c r="I22" s="25"/>
      <c r="J22" s="6">
        <v>45663</v>
      </c>
      <c r="K22" s="29">
        <v>46027</v>
      </c>
      <c r="L22" s="25"/>
      <c r="M22" s="25"/>
      <c r="N22" s="7">
        <f t="shared" ca="1" si="0"/>
        <v>1</v>
      </c>
      <c r="O22" s="28" t="str">
        <f t="shared" ca="1" si="1"/>
        <v>11/12</v>
      </c>
      <c r="P22" s="25"/>
      <c r="Q22" s="6">
        <v>45663</v>
      </c>
      <c r="R22" s="29">
        <v>46027</v>
      </c>
      <c r="S22" s="25"/>
      <c r="T22" s="25"/>
      <c r="U22" s="25"/>
      <c r="W22" s="9" t="s">
        <v>73</v>
      </c>
      <c r="X22" s="10" t="s">
        <v>74</v>
      </c>
      <c r="Y22" s="28" t="s">
        <v>74</v>
      </c>
      <c r="Z22" s="25"/>
      <c r="AA22" s="25"/>
      <c r="AB22" s="8" t="s">
        <v>74</v>
      </c>
      <c r="AC22" s="11">
        <f t="shared" ca="1" si="2"/>
        <v>30</v>
      </c>
      <c r="AE22" s="30">
        <v>0</v>
      </c>
      <c r="AF22" s="25"/>
      <c r="AG22" s="11">
        <f t="shared" ca="1" si="3"/>
        <v>30</v>
      </c>
      <c r="AH22" s="29">
        <f t="shared" ca="1" si="4"/>
        <v>46363</v>
      </c>
      <c r="AI22" s="25"/>
      <c r="AJ22" s="28" t="s">
        <v>75</v>
      </c>
      <c r="AK22" s="25"/>
      <c r="AL22" s="28" t="s">
        <v>75</v>
      </c>
      <c r="AM22" s="25"/>
    </row>
    <row r="23" spans="1:39" ht="10.5" customHeight="1" x14ac:dyDescent="0.35">
      <c r="N23" s="12">
        <f t="shared" ca="1" si="0"/>
        <v>0</v>
      </c>
      <c r="O23" s="12" t="str">
        <f t="shared" ca="1" si="1"/>
        <v>04/12</v>
      </c>
      <c r="Q23" s="6">
        <v>46028</v>
      </c>
      <c r="R23" s="29">
        <v>46392</v>
      </c>
      <c r="S23" s="25"/>
      <c r="T23" s="25"/>
      <c r="U23" s="25"/>
      <c r="W23" s="9" t="s">
        <v>73</v>
      </c>
      <c r="X23" s="10" t="s">
        <v>74</v>
      </c>
      <c r="Y23" s="28" t="s">
        <v>74</v>
      </c>
      <c r="Z23" s="25"/>
      <c r="AA23" s="25"/>
      <c r="AB23" s="8" t="s">
        <v>74</v>
      </c>
      <c r="AC23" s="11">
        <f t="shared" ca="1" si="2"/>
        <v>10</v>
      </c>
      <c r="AE23" s="30">
        <v>0</v>
      </c>
      <c r="AF23" s="25"/>
      <c r="AG23" s="11">
        <f t="shared" ca="1" si="3"/>
        <v>10</v>
      </c>
      <c r="AH23" s="29">
        <f t="shared" ca="1" si="4"/>
        <v>46748</v>
      </c>
      <c r="AI23" s="25"/>
      <c r="AJ23" s="28" t="s">
        <v>75</v>
      </c>
      <c r="AK23" s="25"/>
      <c r="AL23" s="28" t="s">
        <v>75</v>
      </c>
      <c r="AM23" s="25"/>
    </row>
    <row r="24" spans="1:39" ht="10.5" customHeight="1" x14ac:dyDescent="0.35">
      <c r="A24" s="5">
        <v>10055</v>
      </c>
      <c r="B24" t="s">
        <v>78</v>
      </c>
      <c r="C24" s="33" t="s">
        <v>90</v>
      </c>
      <c r="D24" s="25"/>
      <c r="E24" s="25"/>
      <c r="F24" s="25"/>
      <c r="G24" s="25"/>
      <c r="H24" s="25"/>
      <c r="I24" s="25"/>
      <c r="J24" s="6">
        <v>44203</v>
      </c>
      <c r="K24" s="29">
        <v>46028</v>
      </c>
      <c r="L24" s="25"/>
      <c r="M24" s="25"/>
      <c r="N24" s="7">
        <f t="shared" ca="1" si="0"/>
        <v>1</v>
      </c>
      <c r="O24" s="28" t="str">
        <f t="shared" ca="1" si="1"/>
        <v>11/12</v>
      </c>
      <c r="P24" s="25"/>
      <c r="Q24" s="6">
        <v>45664</v>
      </c>
      <c r="R24" s="29">
        <v>46028</v>
      </c>
      <c r="S24" s="25"/>
      <c r="T24" s="25"/>
      <c r="U24" s="25"/>
      <c r="W24" s="9" t="s">
        <v>73</v>
      </c>
      <c r="X24" s="10" t="s">
        <v>74</v>
      </c>
      <c r="Y24" s="28" t="s">
        <v>74</v>
      </c>
      <c r="Z24" s="25"/>
      <c r="AA24" s="25"/>
      <c r="AB24" s="8" t="s">
        <v>74</v>
      </c>
      <c r="AC24" s="11">
        <f t="shared" ca="1" si="2"/>
        <v>30</v>
      </c>
      <c r="AE24" s="30">
        <v>0</v>
      </c>
      <c r="AF24" s="25"/>
      <c r="AG24" s="11">
        <f t="shared" ca="1" si="3"/>
        <v>30</v>
      </c>
      <c r="AH24" s="29">
        <f t="shared" ca="1" si="4"/>
        <v>46364</v>
      </c>
      <c r="AI24" s="25"/>
      <c r="AJ24" s="28" t="s">
        <v>75</v>
      </c>
      <c r="AK24" s="25"/>
      <c r="AL24" s="28" t="s">
        <v>75</v>
      </c>
      <c r="AM24" s="25"/>
    </row>
    <row r="25" spans="1:39" ht="10.5" customHeight="1" x14ac:dyDescent="0.35">
      <c r="N25" s="12">
        <f t="shared" ca="1" si="0"/>
        <v>0</v>
      </c>
      <c r="O25" s="12" t="str">
        <f t="shared" ca="1" si="1"/>
        <v>04/12</v>
      </c>
      <c r="Q25" s="6">
        <v>46029</v>
      </c>
      <c r="R25" s="29">
        <v>46393</v>
      </c>
      <c r="S25" s="25"/>
      <c r="T25" s="25"/>
      <c r="U25" s="25"/>
      <c r="W25" s="9" t="s">
        <v>73</v>
      </c>
      <c r="X25" s="10" t="s">
        <v>74</v>
      </c>
      <c r="Y25" s="28" t="s">
        <v>74</v>
      </c>
      <c r="Z25" s="25"/>
      <c r="AA25" s="25"/>
      <c r="AB25" s="8" t="s">
        <v>74</v>
      </c>
      <c r="AC25" s="11">
        <f t="shared" ca="1" si="2"/>
        <v>10</v>
      </c>
      <c r="AE25" s="30">
        <v>0</v>
      </c>
      <c r="AF25" s="25"/>
      <c r="AG25" s="11">
        <f t="shared" ca="1" si="3"/>
        <v>10</v>
      </c>
      <c r="AH25" s="29">
        <f t="shared" ca="1" si="4"/>
        <v>46749</v>
      </c>
      <c r="AI25" s="25"/>
      <c r="AJ25" s="28" t="s">
        <v>75</v>
      </c>
      <c r="AK25" s="25"/>
      <c r="AL25" s="28" t="s">
        <v>75</v>
      </c>
      <c r="AM25" s="25"/>
    </row>
    <row r="26" spans="1:39" ht="10.5" customHeight="1" x14ac:dyDescent="0.35">
      <c r="A26" s="5">
        <v>10132</v>
      </c>
      <c r="B26" t="s">
        <v>83</v>
      </c>
      <c r="C26" s="33" t="s">
        <v>91</v>
      </c>
      <c r="D26" s="25"/>
      <c r="E26" s="25"/>
      <c r="F26" s="25"/>
      <c r="G26" s="25"/>
      <c r="H26" s="25"/>
      <c r="I26" s="25"/>
      <c r="J26" s="6">
        <v>45665</v>
      </c>
      <c r="K26" s="29">
        <v>46029</v>
      </c>
      <c r="L26" s="25"/>
      <c r="M26" s="25"/>
      <c r="N26" s="7">
        <f t="shared" ca="1" si="0"/>
        <v>1</v>
      </c>
      <c r="O26" s="28" t="str">
        <f t="shared" ca="1" si="1"/>
        <v>11/12</v>
      </c>
      <c r="P26" s="25"/>
      <c r="Q26" s="6">
        <v>45665</v>
      </c>
      <c r="R26" s="29">
        <v>46029</v>
      </c>
      <c r="S26" s="25"/>
      <c r="T26" s="25"/>
      <c r="U26" s="25"/>
      <c r="W26" s="9" t="s">
        <v>73</v>
      </c>
      <c r="X26" s="10" t="s">
        <v>74</v>
      </c>
      <c r="Y26" s="28" t="s">
        <v>74</v>
      </c>
      <c r="Z26" s="25"/>
      <c r="AA26" s="25"/>
      <c r="AB26" s="8" t="s">
        <v>74</v>
      </c>
      <c r="AC26" s="11">
        <f t="shared" ca="1" si="2"/>
        <v>30</v>
      </c>
      <c r="AE26" s="30">
        <v>0</v>
      </c>
      <c r="AF26" s="25"/>
      <c r="AG26" s="11">
        <f t="shared" ca="1" si="3"/>
        <v>30</v>
      </c>
      <c r="AH26" s="29">
        <f t="shared" ca="1" si="4"/>
        <v>46365</v>
      </c>
      <c r="AI26" s="25"/>
      <c r="AJ26" s="28" t="s">
        <v>75</v>
      </c>
      <c r="AK26" s="25"/>
      <c r="AL26" s="28" t="s">
        <v>75</v>
      </c>
      <c r="AM26" s="25"/>
    </row>
    <row r="27" spans="1:39" ht="10.5" customHeight="1" x14ac:dyDescent="0.35">
      <c r="N27" s="12">
        <f t="shared" ca="1" si="0"/>
        <v>0</v>
      </c>
      <c r="O27" s="12" t="str">
        <f t="shared" ca="1" si="1"/>
        <v>04/12</v>
      </c>
      <c r="Q27" s="6">
        <v>46030</v>
      </c>
      <c r="R27" s="29">
        <v>46394</v>
      </c>
      <c r="S27" s="25"/>
      <c r="T27" s="25"/>
      <c r="U27" s="25"/>
      <c r="W27" s="9" t="s">
        <v>73</v>
      </c>
      <c r="X27" s="10" t="s">
        <v>74</v>
      </c>
      <c r="Y27" s="28" t="s">
        <v>74</v>
      </c>
      <c r="Z27" s="25"/>
      <c r="AA27" s="25"/>
      <c r="AB27" s="8" t="s">
        <v>74</v>
      </c>
      <c r="AC27" s="11">
        <f t="shared" ca="1" si="2"/>
        <v>10</v>
      </c>
      <c r="AE27" s="30">
        <v>0</v>
      </c>
      <c r="AF27" s="25"/>
      <c r="AG27" s="11">
        <f t="shared" ca="1" si="3"/>
        <v>10</v>
      </c>
      <c r="AH27" s="29">
        <f t="shared" ca="1" si="4"/>
        <v>46750</v>
      </c>
      <c r="AI27" s="25"/>
      <c r="AJ27" s="28" t="s">
        <v>75</v>
      </c>
      <c r="AK27" s="25"/>
      <c r="AL27" s="28" t="s">
        <v>75</v>
      </c>
      <c r="AM27" s="25"/>
    </row>
    <row r="28" spans="1:39" ht="10.5" customHeight="1" x14ac:dyDescent="0.35">
      <c r="A28" s="5">
        <v>10037</v>
      </c>
      <c r="B28" t="s">
        <v>86</v>
      </c>
      <c r="C28" s="33" t="s">
        <v>92</v>
      </c>
      <c r="D28" s="25"/>
      <c r="E28" s="25"/>
      <c r="F28" s="25"/>
      <c r="G28" s="25"/>
      <c r="H28" s="25"/>
      <c r="I28" s="25"/>
      <c r="J28" s="6">
        <v>44216</v>
      </c>
      <c r="K28" s="29">
        <v>46041</v>
      </c>
      <c r="L28" s="25"/>
      <c r="M28" s="25"/>
      <c r="N28" s="7">
        <f t="shared" ca="1" si="0"/>
        <v>1</v>
      </c>
      <c r="O28" s="28" t="str">
        <f t="shared" ca="1" si="1"/>
        <v>11/12</v>
      </c>
      <c r="P28" s="25"/>
      <c r="Q28" s="6">
        <v>45677</v>
      </c>
      <c r="R28" s="29">
        <v>46041</v>
      </c>
      <c r="S28" s="25"/>
      <c r="T28" s="25"/>
      <c r="U28" s="25"/>
      <c r="W28" s="9" t="s">
        <v>73</v>
      </c>
      <c r="X28" s="10" t="s">
        <v>74</v>
      </c>
      <c r="Y28" s="28" t="s">
        <v>74</v>
      </c>
      <c r="Z28" s="25"/>
      <c r="AA28" s="25"/>
      <c r="AB28" s="8" t="s">
        <v>74</v>
      </c>
      <c r="AC28" s="11">
        <f t="shared" ca="1" si="2"/>
        <v>30</v>
      </c>
      <c r="AE28" s="30">
        <v>0</v>
      </c>
      <c r="AF28" s="25"/>
      <c r="AG28" s="11">
        <f t="shared" ca="1" si="3"/>
        <v>30</v>
      </c>
      <c r="AH28" s="29">
        <f t="shared" ca="1" si="4"/>
        <v>46377</v>
      </c>
      <c r="AI28" s="25"/>
      <c r="AJ28" s="28" t="s">
        <v>75</v>
      </c>
      <c r="AK28" s="25"/>
      <c r="AL28" s="28" t="s">
        <v>75</v>
      </c>
      <c r="AM28" s="25"/>
    </row>
    <row r="29" spans="1:39" ht="10.5" customHeight="1" x14ac:dyDescent="0.35">
      <c r="N29" s="12">
        <f t="shared" ca="1" si="0"/>
        <v>0</v>
      </c>
      <c r="O29" s="12" t="str">
        <f t="shared" ca="1" si="1"/>
        <v>04/12</v>
      </c>
      <c r="Q29" s="6">
        <v>46042</v>
      </c>
      <c r="R29" s="29">
        <v>46406</v>
      </c>
      <c r="S29" s="25"/>
      <c r="T29" s="25"/>
      <c r="U29" s="25"/>
      <c r="W29" s="9" t="s">
        <v>73</v>
      </c>
      <c r="X29" s="10" t="s">
        <v>74</v>
      </c>
      <c r="Y29" s="28" t="s">
        <v>74</v>
      </c>
      <c r="Z29" s="25"/>
      <c r="AA29" s="25"/>
      <c r="AB29" s="8" t="s">
        <v>74</v>
      </c>
      <c r="AC29" s="11">
        <f t="shared" ca="1" si="2"/>
        <v>10</v>
      </c>
      <c r="AE29" s="30">
        <v>0</v>
      </c>
      <c r="AF29" s="25"/>
      <c r="AG29" s="11">
        <f t="shared" ca="1" si="3"/>
        <v>10</v>
      </c>
      <c r="AH29" s="29">
        <f t="shared" ca="1" si="4"/>
        <v>46762</v>
      </c>
      <c r="AI29" s="25"/>
      <c r="AJ29" s="28" t="s">
        <v>75</v>
      </c>
      <c r="AK29" s="25"/>
      <c r="AL29" s="28" t="s">
        <v>75</v>
      </c>
      <c r="AM29" s="25"/>
    </row>
    <row r="30" spans="1:39" ht="10.5" customHeight="1" x14ac:dyDescent="0.35">
      <c r="A30" s="5">
        <v>10133</v>
      </c>
      <c r="B30" t="s">
        <v>83</v>
      </c>
      <c r="C30" s="33" t="s">
        <v>93</v>
      </c>
      <c r="D30" s="25"/>
      <c r="E30" s="25"/>
      <c r="F30" s="25"/>
      <c r="G30" s="25"/>
      <c r="H30" s="25"/>
      <c r="I30" s="25"/>
      <c r="J30" s="6">
        <v>45691</v>
      </c>
      <c r="K30" s="29">
        <v>46055</v>
      </c>
      <c r="L30" s="25"/>
      <c r="M30" s="25"/>
      <c r="N30" s="7">
        <f t="shared" ca="1" si="0"/>
        <v>1</v>
      </c>
      <c r="O30" s="28" t="str">
        <f t="shared" ca="1" si="1"/>
        <v>11/12</v>
      </c>
      <c r="P30" s="25"/>
      <c r="Q30" s="6">
        <v>45691</v>
      </c>
      <c r="R30" s="29">
        <v>46055</v>
      </c>
      <c r="S30" s="25"/>
      <c r="T30" s="25"/>
      <c r="U30" s="25"/>
      <c r="W30" s="9" t="s">
        <v>94</v>
      </c>
      <c r="X30" s="10">
        <v>15</v>
      </c>
      <c r="Y30" s="28" t="s">
        <v>75</v>
      </c>
      <c r="Z30" s="25"/>
      <c r="AA30" s="25"/>
      <c r="AB30" s="8" t="s">
        <v>75</v>
      </c>
      <c r="AC30" s="11">
        <f t="shared" ca="1" si="2"/>
        <v>30</v>
      </c>
      <c r="AE30" s="30">
        <v>0</v>
      </c>
      <c r="AF30" s="25"/>
      <c r="AG30" s="11">
        <f t="shared" ca="1" si="3"/>
        <v>30</v>
      </c>
      <c r="AH30" s="29">
        <f t="shared" ca="1" si="4"/>
        <v>46391</v>
      </c>
      <c r="AI30" s="25"/>
      <c r="AJ30" s="28" t="s">
        <v>75</v>
      </c>
      <c r="AK30" s="25"/>
      <c r="AL30" s="28" t="s">
        <v>75</v>
      </c>
      <c r="AM30" s="25"/>
    </row>
    <row r="31" spans="1:39" ht="10.5" customHeight="1" x14ac:dyDescent="0.35">
      <c r="N31" s="12">
        <f t="shared" ca="1" si="0"/>
        <v>0</v>
      </c>
      <c r="O31" s="12" t="str">
        <f t="shared" ca="1" si="1"/>
        <v>03/12</v>
      </c>
      <c r="Q31" s="6">
        <v>46056</v>
      </c>
      <c r="R31" s="29">
        <v>46420</v>
      </c>
      <c r="S31" s="25"/>
      <c r="T31" s="25"/>
      <c r="U31" s="25"/>
      <c r="W31" s="9" t="s">
        <v>73</v>
      </c>
      <c r="X31" s="10" t="s">
        <v>74</v>
      </c>
      <c r="Y31" s="28" t="s">
        <v>74</v>
      </c>
      <c r="Z31" s="25"/>
      <c r="AA31" s="25"/>
      <c r="AB31" s="8" t="s">
        <v>74</v>
      </c>
      <c r="AC31" s="11">
        <f t="shared" ca="1" si="2"/>
        <v>7.5</v>
      </c>
      <c r="AE31" s="30">
        <v>0</v>
      </c>
      <c r="AF31" s="25"/>
      <c r="AG31" s="11">
        <f t="shared" ca="1" si="3"/>
        <v>7.5</v>
      </c>
      <c r="AH31" s="29">
        <f t="shared" ca="1" si="4"/>
        <v>46778.5</v>
      </c>
      <c r="AI31" s="25"/>
      <c r="AJ31" s="28" t="s">
        <v>75</v>
      </c>
      <c r="AK31" s="25"/>
      <c r="AL31" s="28" t="s">
        <v>75</v>
      </c>
      <c r="AM31" s="25"/>
    </row>
    <row r="32" spans="1:39" ht="10.5" customHeight="1" x14ac:dyDescent="0.35">
      <c r="A32" s="5">
        <v>10116</v>
      </c>
      <c r="B32" t="s">
        <v>78</v>
      </c>
      <c r="C32" s="33" t="s">
        <v>95</v>
      </c>
      <c r="D32" s="25"/>
      <c r="E32" s="25"/>
      <c r="F32" s="25"/>
      <c r="G32" s="25"/>
      <c r="H32" s="25"/>
      <c r="I32" s="25"/>
      <c r="J32" s="6">
        <v>45346</v>
      </c>
      <c r="K32" s="29">
        <v>46076</v>
      </c>
      <c r="L32" s="25"/>
      <c r="M32" s="25"/>
      <c r="N32" s="7">
        <f t="shared" ca="1" si="0"/>
        <v>1</v>
      </c>
      <c r="O32" s="28" t="str">
        <f t="shared" ca="1" si="1"/>
        <v>11/12</v>
      </c>
      <c r="P32" s="25"/>
      <c r="Q32" s="6">
        <v>45712</v>
      </c>
      <c r="R32" s="29">
        <v>46076</v>
      </c>
      <c r="S32" s="25"/>
      <c r="T32" s="25"/>
      <c r="U32" s="25"/>
      <c r="W32" s="9" t="s">
        <v>73</v>
      </c>
      <c r="X32" s="10" t="s">
        <v>74</v>
      </c>
      <c r="Y32" s="28" t="s">
        <v>74</v>
      </c>
      <c r="Z32" s="25"/>
      <c r="AA32" s="25"/>
      <c r="AB32" s="8" t="s">
        <v>74</v>
      </c>
      <c r="AC32" s="11">
        <f t="shared" ca="1" si="2"/>
        <v>30</v>
      </c>
      <c r="AE32" s="30">
        <v>0</v>
      </c>
      <c r="AF32" s="25"/>
      <c r="AG32" s="11">
        <f t="shared" ca="1" si="3"/>
        <v>30</v>
      </c>
      <c r="AH32" s="29">
        <f t="shared" ca="1" si="4"/>
        <v>46412</v>
      </c>
      <c r="AI32" s="25"/>
      <c r="AJ32" s="28" t="s">
        <v>75</v>
      </c>
      <c r="AK32" s="25"/>
      <c r="AL32" s="28" t="s">
        <v>75</v>
      </c>
      <c r="AM32" s="25"/>
    </row>
    <row r="33" spans="1:39" ht="10.5" customHeight="1" x14ac:dyDescent="0.35">
      <c r="N33" s="12">
        <f t="shared" ca="1" si="0"/>
        <v>0</v>
      </c>
      <c r="O33" s="12" t="str">
        <f t="shared" ca="1" si="1"/>
        <v>03/12</v>
      </c>
      <c r="Q33" s="6">
        <v>46077</v>
      </c>
      <c r="R33" s="29">
        <v>46441</v>
      </c>
      <c r="S33" s="25"/>
      <c r="T33" s="25"/>
      <c r="U33" s="25"/>
      <c r="W33" s="9" t="s">
        <v>73</v>
      </c>
      <c r="X33" s="10" t="s">
        <v>74</v>
      </c>
      <c r="Y33" s="28" t="s">
        <v>74</v>
      </c>
      <c r="Z33" s="25"/>
      <c r="AA33" s="25"/>
      <c r="AB33" s="8" t="s">
        <v>74</v>
      </c>
      <c r="AC33" s="11">
        <f t="shared" ca="1" si="2"/>
        <v>7.5</v>
      </c>
      <c r="AE33" s="30">
        <v>0</v>
      </c>
      <c r="AF33" s="25"/>
      <c r="AG33" s="11">
        <f t="shared" ca="1" si="3"/>
        <v>7.5</v>
      </c>
      <c r="AH33" s="29">
        <f t="shared" ca="1" si="4"/>
        <v>46799.5</v>
      </c>
      <c r="AI33" s="25"/>
      <c r="AJ33" s="28" t="s">
        <v>75</v>
      </c>
      <c r="AK33" s="25"/>
      <c r="AL33" s="28" t="s">
        <v>96</v>
      </c>
      <c r="AM33" s="25"/>
    </row>
    <row r="34" spans="1:39" ht="10.5" customHeight="1" x14ac:dyDescent="0.35">
      <c r="A34" s="5">
        <v>10118</v>
      </c>
      <c r="B34" t="s">
        <v>78</v>
      </c>
      <c r="C34" s="33" t="s">
        <v>97</v>
      </c>
      <c r="D34" s="25"/>
      <c r="E34" s="25"/>
      <c r="F34" s="25"/>
      <c r="G34" s="25"/>
      <c r="H34" s="25"/>
      <c r="I34" s="25"/>
      <c r="J34" s="6">
        <v>45355</v>
      </c>
      <c r="K34" s="29">
        <v>46084</v>
      </c>
      <c r="L34" s="25"/>
      <c r="M34" s="25"/>
      <c r="N34" s="7">
        <f t="shared" ca="1" si="0"/>
        <v>1</v>
      </c>
      <c r="O34" s="28" t="str">
        <f t="shared" ca="1" si="1"/>
        <v>11/12</v>
      </c>
      <c r="P34" s="25"/>
      <c r="Q34" s="6">
        <v>45720</v>
      </c>
      <c r="R34" s="29">
        <v>46084</v>
      </c>
      <c r="S34" s="25"/>
      <c r="T34" s="25"/>
      <c r="U34" s="25"/>
      <c r="W34" s="9" t="s">
        <v>73</v>
      </c>
      <c r="X34" s="10" t="s">
        <v>74</v>
      </c>
      <c r="Y34" s="28" t="s">
        <v>74</v>
      </c>
      <c r="Z34" s="25"/>
      <c r="AA34" s="25"/>
      <c r="AB34" s="8" t="s">
        <v>74</v>
      </c>
      <c r="AC34" s="11">
        <f t="shared" ca="1" si="2"/>
        <v>30</v>
      </c>
      <c r="AE34" s="30">
        <v>0</v>
      </c>
      <c r="AF34" s="25"/>
      <c r="AG34" s="11">
        <f t="shared" ca="1" si="3"/>
        <v>30</v>
      </c>
      <c r="AH34" s="29">
        <f t="shared" ca="1" si="4"/>
        <v>46420</v>
      </c>
      <c r="AI34" s="25"/>
      <c r="AJ34" s="28" t="s">
        <v>75</v>
      </c>
      <c r="AK34" s="25"/>
      <c r="AL34" s="28" t="s">
        <v>98</v>
      </c>
      <c r="AM34" s="25"/>
    </row>
    <row r="35" spans="1:39" ht="10.5" customHeight="1" x14ac:dyDescent="0.35">
      <c r="N35" s="12">
        <f t="shared" ca="1" si="0"/>
        <v>0</v>
      </c>
      <c r="O35" s="12" t="str">
        <f t="shared" ca="1" si="1"/>
        <v>02/12</v>
      </c>
      <c r="Q35" s="6">
        <v>46085</v>
      </c>
      <c r="R35" s="29">
        <v>46449</v>
      </c>
      <c r="S35" s="25"/>
      <c r="T35" s="25"/>
      <c r="U35" s="25"/>
      <c r="W35" s="9" t="s">
        <v>73</v>
      </c>
      <c r="X35" s="10" t="s">
        <v>74</v>
      </c>
      <c r="Y35" s="28" t="s">
        <v>74</v>
      </c>
      <c r="Z35" s="25"/>
      <c r="AA35" s="25"/>
      <c r="AB35" s="8" t="s">
        <v>74</v>
      </c>
      <c r="AC35" s="11">
        <f t="shared" ca="1" si="2"/>
        <v>5</v>
      </c>
      <c r="AE35" s="30">
        <v>0</v>
      </c>
      <c r="AF35" s="25"/>
      <c r="AG35" s="11">
        <f t="shared" ca="1" si="3"/>
        <v>5</v>
      </c>
      <c r="AH35" s="29">
        <f t="shared" ca="1" si="4"/>
        <v>46811</v>
      </c>
      <c r="AI35" s="25"/>
      <c r="AJ35" s="28" t="s">
        <v>75</v>
      </c>
      <c r="AK35" s="25"/>
      <c r="AL35" s="28" t="s">
        <v>75</v>
      </c>
      <c r="AM35" s="25"/>
    </row>
    <row r="36" spans="1:39" ht="10.5" customHeight="1" x14ac:dyDescent="0.35">
      <c r="A36" s="5">
        <v>10135</v>
      </c>
      <c r="B36" t="s">
        <v>83</v>
      </c>
      <c r="C36" s="33" t="s">
        <v>99</v>
      </c>
      <c r="D36" s="25"/>
      <c r="E36" s="25"/>
      <c r="F36" s="25"/>
      <c r="G36" s="25"/>
      <c r="H36" s="25"/>
      <c r="I36" s="25"/>
      <c r="J36" s="6">
        <v>45721</v>
      </c>
      <c r="K36" s="29">
        <v>46085</v>
      </c>
      <c r="L36" s="25"/>
      <c r="M36" s="25"/>
      <c r="N36" s="7">
        <f t="shared" ca="1" si="0"/>
        <v>1</v>
      </c>
      <c r="O36" s="28" t="str">
        <f t="shared" ca="1" si="1"/>
        <v>11/12</v>
      </c>
      <c r="P36" s="25"/>
      <c r="Q36" s="6">
        <v>45721</v>
      </c>
      <c r="R36" s="29">
        <v>46085</v>
      </c>
      <c r="S36" s="25"/>
      <c r="T36" s="25"/>
      <c r="U36" s="25"/>
      <c r="W36" s="9" t="s">
        <v>73</v>
      </c>
      <c r="X36" s="10" t="s">
        <v>74</v>
      </c>
      <c r="Y36" s="28" t="s">
        <v>74</v>
      </c>
      <c r="Z36" s="25"/>
      <c r="AA36" s="25"/>
      <c r="AB36" s="8" t="s">
        <v>74</v>
      </c>
      <c r="AC36" s="11">
        <f t="shared" ca="1" si="2"/>
        <v>30</v>
      </c>
      <c r="AE36" s="30">
        <v>0</v>
      </c>
      <c r="AF36" s="25"/>
      <c r="AG36" s="11">
        <f t="shared" ca="1" si="3"/>
        <v>30</v>
      </c>
      <c r="AH36" s="29">
        <f t="shared" ca="1" si="4"/>
        <v>46421</v>
      </c>
      <c r="AI36" s="25"/>
      <c r="AJ36" s="28" t="s">
        <v>75</v>
      </c>
      <c r="AK36" s="25"/>
      <c r="AL36" s="28" t="s">
        <v>75</v>
      </c>
      <c r="AM36" s="25"/>
    </row>
    <row r="37" spans="1:39" ht="10.5" customHeight="1" x14ac:dyDescent="0.35">
      <c r="N37" s="12">
        <f t="shared" ca="1" si="0"/>
        <v>0</v>
      </c>
      <c r="O37" s="12" t="str">
        <f t="shared" ca="1" si="1"/>
        <v>02/12</v>
      </c>
      <c r="Q37" s="6">
        <v>46086</v>
      </c>
      <c r="R37" s="29">
        <v>46450</v>
      </c>
      <c r="S37" s="25"/>
      <c r="T37" s="25"/>
      <c r="U37" s="25"/>
      <c r="W37" s="9" t="s">
        <v>73</v>
      </c>
      <c r="X37" s="10" t="s">
        <v>74</v>
      </c>
      <c r="Y37" s="28" t="s">
        <v>74</v>
      </c>
      <c r="Z37" s="25"/>
      <c r="AA37" s="25"/>
      <c r="AB37" s="8" t="s">
        <v>74</v>
      </c>
      <c r="AC37" s="11">
        <f t="shared" ca="1" si="2"/>
        <v>5</v>
      </c>
      <c r="AE37" s="30">
        <v>0</v>
      </c>
      <c r="AF37" s="25"/>
      <c r="AG37" s="11">
        <f t="shared" ca="1" si="3"/>
        <v>5</v>
      </c>
      <c r="AH37" s="29">
        <f t="shared" ca="1" si="4"/>
        <v>46812</v>
      </c>
      <c r="AI37" s="25"/>
      <c r="AJ37" s="28" t="s">
        <v>75</v>
      </c>
      <c r="AK37" s="25"/>
      <c r="AL37" s="28" t="s">
        <v>75</v>
      </c>
      <c r="AM37" s="25"/>
    </row>
    <row r="38" spans="1:39" ht="10.5" customHeight="1" x14ac:dyDescent="0.35">
      <c r="A38" s="5">
        <v>10136</v>
      </c>
      <c r="B38" t="s">
        <v>81</v>
      </c>
      <c r="C38" s="33" t="s">
        <v>100</v>
      </c>
      <c r="D38" s="25"/>
      <c r="E38" s="25"/>
      <c r="F38" s="25"/>
      <c r="G38" s="25"/>
      <c r="H38" s="25"/>
      <c r="I38" s="25"/>
      <c r="J38" s="6">
        <v>45721</v>
      </c>
      <c r="K38" s="29">
        <v>46085</v>
      </c>
      <c r="L38" s="25"/>
      <c r="M38" s="25"/>
      <c r="N38" s="7">
        <f t="shared" ca="1" si="0"/>
        <v>1</v>
      </c>
      <c r="O38" s="28" t="str">
        <f t="shared" ca="1" si="1"/>
        <v>11/12</v>
      </c>
      <c r="P38" s="25"/>
      <c r="Q38" s="6">
        <v>45721</v>
      </c>
      <c r="R38" s="29">
        <v>46085</v>
      </c>
      <c r="S38" s="25"/>
      <c r="T38" s="25"/>
      <c r="U38" s="25"/>
      <c r="W38" s="9" t="s">
        <v>73</v>
      </c>
      <c r="X38" s="10" t="s">
        <v>74</v>
      </c>
      <c r="Y38" s="28" t="s">
        <v>74</v>
      </c>
      <c r="Z38" s="25"/>
      <c r="AA38" s="25"/>
      <c r="AB38" s="8" t="s">
        <v>74</v>
      </c>
      <c r="AC38" s="11">
        <f t="shared" ca="1" si="2"/>
        <v>30</v>
      </c>
      <c r="AE38" s="30">
        <v>0</v>
      </c>
      <c r="AF38" s="25"/>
      <c r="AG38" s="11">
        <f t="shared" ca="1" si="3"/>
        <v>30</v>
      </c>
      <c r="AH38" s="29">
        <f t="shared" ca="1" si="4"/>
        <v>46421</v>
      </c>
      <c r="AI38" s="25"/>
      <c r="AJ38" s="28" t="s">
        <v>75</v>
      </c>
      <c r="AK38" s="25"/>
      <c r="AL38" s="28" t="s">
        <v>76</v>
      </c>
      <c r="AM38" s="25"/>
    </row>
    <row r="39" spans="1:39" ht="10.5" customHeight="1" x14ac:dyDescent="0.35">
      <c r="N39" s="12">
        <f t="shared" ca="1" si="0"/>
        <v>0</v>
      </c>
      <c r="O39" s="12" t="str">
        <f t="shared" ca="1" si="1"/>
        <v>02/12</v>
      </c>
      <c r="Q39" s="6">
        <v>46086</v>
      </c>
      <c r="R39" s="29">
        <v>46450</v>
      </c>
      <c r="S39" s="25"/>
      <c r="T39" s="25"/>
      <c r="U39" s="25"/>
      <c r="W39" s="9" t="s">
        <v>73</v>
      </c>
      <c r="X39" s="10" t="s">
        <v>74</v>
      </c>
      <c r="Y39" s="28" t="s">
        <v>74</v>
      </c>
      <c r="Z39" s="25"/>
      <c r="AA39" s="25"/>
      <c r="AB39" s="8" t="s">
        <v>74</v>
      </c>
      <c r="AC39" s="11">
        <f t="shared" ca="1" si="2"/>
        <v>5</v>
      </c>
      <c r="AE39" s="30">
        <v>0</v>
      </c>
      <c r="AF39" s="25"/>
      <c r="AG39" s="11">
        <f t="shared" ca="1" si="3"/>
        <v>5</v>
      </c>
      <c r="AH39" s="29">
        <f t="shared" ca="1" si="4"/>
        <v>46812</v>
      </c>
      <c r="AI39" s="25"/>
      <c r="AJ39" s="28" t="s">
        <v>75</v>
      </c>
      <c r="AK39" s="25"/>
      <c r="AL39" s="28" t="s">
        <v>98</v>
      </c>
      <c r="AM39" s="25"/>
    </row>
    <row r="40" spans="1:39" ht="10.5" customHeight="1" x14ac:dyDescent="0.35">
      <c r="A40" s="5">
        <v>10095</v>
      </c>
      <c r="B40" t="s">
        <v>81</v>
      </c>
      <c r="C40" s="33" t="s">
        <v>101</v>
      </c>
      <c r="D40" s="25"/>
      <c r="E40" s="25"/>
      <c r="F40" s="25"/>
      <c r="G40" s="25"/>
      <c r="H40" s="25"/>
      <c r="I40" s="25"/>
      <c r="J40" s="6">
        <v>45002</v>
      </c>
      <c r="K40" s="29">
        <v>46097</v>
      </c>
      <c r="L40" s="25"/>
      <c r="M40" s="25"/>
      <c r="N40" s="7">
        <f t="shared" ref="N40:N71" ca="1" si="5">IF(MAX(0,AC40-AE40-IF(AND(ISNUMBER(W40),ISNUMBER(X40)),X40,0))&lt;=0,0,IF(R40&lt;$D$3,1,0))</f>
        <v>1</v>
      </c>
      <c r="O40" s="28" t="str">
        <f t="shared" ref="O40:O71" ca="1" si="6">IF(MAX(0,AC40-AE40-IF(AND(ISNUMBER(W40),ISNUMBER(X40)),X40,0))&lt;=0,"00/12",TEXT(MIN(11,MAX(0,DATEDIF(Q40,$D$3,"M"))),"00")&amp;"/12")</f>
        <v>11/12</v>
      </c>
      <c r="P40" s="25"/>
      <c r="Q40" s="6">
        <v>45733</v>
      </c>
      <c r="R40" s="29">
        <v>46097</v>
      </c>
      <c r="S40" s="25"/>
      <c r="T40" s="25"/>
      <c r="U40" s="25"/>
      <c r="W40" s="9" t="s">
        <v>73</v>
      </c>
      <c r="X40" s="10" t="s">
        <v>74</v>
      </c>
      <c r="Y40" s="28" t="s">
        <v>74</v>
      </c>
      <c r="Z40" s="25"/>
      <c r="AA40" s="25"/>
      <c r="AB40" s="8" t="s">
        <v>74</v>
      </c>
      <c r="AC40" s="11">
        <f t="shared" ref="AC40:AC71" ca="1" si="7">IF($D$3&gt;=R40,30,MIN(30,MAX(0,DATEDIF(Q40,$D$3,"M"))*2.5))</f>
        <v>30</v>
      </c>
      <c r="AE40" s="30">
        <v>0</v>
      </c>
      <c r="AF40" s="25"/>
      <c r="AG40" s="11">
        <f t="shared" ref="AG40:AG71" ca="1" si="8">MAX(0,AC40-AE40-IF(AND(ISNUMBER(W40),ISNUMBER(X40)),X40,0))</f>
        <v>30</v>
      </c>
      <c r="AH40" s="29">
        <f t="shared" ref="AH40:AH71" ca="1" si="9">EDATE(R40,12)-AG40+1</f>
        <v>46433</v>
      </c>
      <c r="AI40" s="25"/>
      <c r="AJ40" s="28" t="s">
        <v>75</v>
      </c>
      <c r="AK40" s="25"/>
      <c r="AL40" s="28" t="s">
        <v>75</v>
      </c>
      <c r="AM40" s="25"/>
    </row>
    <row r="41" spans="1:39" ht="10.5" customHeight="1" x14ac:dyDescent="0.35">
      <c r="N41" s="12">
        <f t="shared" ca="1" si="5"/>
        <v>0</v>
      </c>
      <c r="O41" s="12" t="str">
        <f t="shared" ca="1" si="6"/>
        <v>02/12</v>
      </c>
      <c r="Q41" s="6">
        <v>46098</v>
      </c>
      <c r="R41" s="29">
        <v>46462</v>
      </c>
      <c r="S41" s="25"/>
      <c r="T41" s="25"/>
      <c r="U41" s="25"/>
      <c r="W41" s="9" t="s">
        <v>73</v>
      </c>
      <c r="X41" s="10" t="s">
        <v>74</v>
      </c>
      <c r="Y41" s="28" t="s">
        <v>74</v>
      </c>
      <c r="Z41" s="25"/>
      <c r="AA41" s="25"/>
      <c r="AB41" s="8" t="s">
        <v>74</v>
      </c>
      <c r="AC41" s="11">
        <f t="shared" ca="1" si="7"/>
        <v>5</v>
      </c>
      <c r="AE41" s="30">
        <v>0</v>
      </c>
      <c r="AF41" s="25"/>
      <c r="AG41" s="11">
        <f t="shared" ca="1" si="8"/>
        <v>5</v>
      </c>
      <c r="AH41" s="29">
        <f t="shared" ca="1" si="9"/>
        <v>46824</v>
      </c>
      <c r="AI41" s="25"/>
      <c r="AJ41" s="28" t="s">
        <v>75</v>
      </c>
      <c r="AK41" s="25"/>
      <c r="AL41" s="28" t="s">
        <v>75</v>
      </c>
      <c r="AM41" s="25"/>
    </row>
    <row r="42" spans="1:39" ht="10.5" customHeight="1" x14ac:dyDescent="0.35">
      <c r="A42" s="5">
        <v>10062</v>
      </c>
      <c r="B42" t="s">
        <v>71</v>
      </c>
      <c r="C42" s="33" t="s">
        <v>102</v>
      </c>
      <c r="D42" s="25"/>
      <c r="E42" s="25"/>
      <c r="F42" s="25"/>
      <c r="G42" s="25"/>
      <c r="H42" s="25"/>
      <c r="I42" s="25"/>
      <c r="J42" s="6">
        <v>40991</v>
      </c>
      <c r="K42" s="29">
        <v>46103</v>
      </c>
      <c r="L42" s="25"/>
      <c r="M42" s="25"/>
      <c r="N42" s="7">
        <f t="shared" ca="1" si="5"/>
        <v>1</v>
      </c>
      <c r="O42" s="28" t="str">
        <f t="shared" ca="1" si="6"/>
        <v>11/12</v>
      </c>
      <c r="P42" s="25"/>
      <c r="Q42" s="6">
        <v>45739</v>
      </c>
      <c r="R42" s="29">
        <v>46103</v>
      </c>
      <c r="S42" s="25"/>
      <c r="T42" s="25"/>
      <c r="U42" s="25"/>
      <c r="W42" s="9" t="s">
        <v>73</v>
      </c>
      <c r="X42" s="10" t="s">
        <v>74</v>
      </c>
      <c r="Y42" s="28" t="s">
        <v>74</v>
      </c>
      <c r="Z42" s="25"/>
      <c r="AA42" s="25"/>
      <c r="AB42" s="8" t="s">
        <v>74</v>
      </c>
      <c r="AC42" s="11">
        <f t="shared" ca="1" si="7"/>
        <v>30</v>
      </c>
      <c r="AE42" s="30">
        <v>0</v>
      </c>
      <c r="AF42" s="25"/>
      <c r="AG42" s="11">
        <f t="shared" ca="1" si="8"/>
        <v>30</v>
      </c>
      <c r="AH42" s="29">
        <f t="shared" ca="1" si="9"/>
        <v>46439</v>
      </c>
      <c r="AI42" s="25"/>
      <c r="AJ42" s="28" t="s">
        <v>75</v>
      </c>
      <c r="AK42" s="25"/>
      <c r="AL42" s="28" t="s">
        <v>75</v>
      </c>
      <c r="AM42" s="25"/>
    </row>
    <row r="43" spans="1:39" ht="10.5" customHeight="1" x14ac:dyDescent="0.35">
      <c r="N43" s="12">
        <f t="shared" ca="1" si="5"/>
        <v>0</v>
      </c>
      <c r="O43" s="12" t="str">
        <f t="shared" ca="1" si="6"/>
        <v>02/12</v>
      </c>
      <c r="Q43" s="6">
        <v>46104</v>
      </c>
      <c r="R43" s="29">
        <v>46468</v>
      </c>
      <c r="S43" s="25"/>
      <c r="T43" s="25"/>
      <c r="U43" s="25"/>
      <c r="W43" s="9" t="s">
        <v>73</v>
      </c>
      <c r="X43" s="10" t="s">
        <v>74</v>
      </c>
      <c r="Y43" s="28" t="s">
        <v>74</v>
      </c>
      <c r="Z43" s="25"/>
      <c r="AA43" s="25"/>
      <c r="AB43" s="8" t="s">
        <v>74</v>
      </c>
      <c r="AC43" s="11">
        <f t="shared" ca="1" si="7"/>
        <v>5</v>
      </c>
      <c r="AE43" s="30">
        <v>0</v>
      </c>
      <c r="AF43" s="25"/>
      <c r="AG43" s="11">
        <f t="shared" ca="1" si="8"/>
        <v>5</v>
      </c>
      <c r="AH43" s="29">
        <f t="shared" ca="1" si="9"/>
        <v>46830</v>
      </c>
      <c r="AI43" s="25"/>
      <c r="AJ43" s="28" t="s">
        <v>75</v>
      </c>
      <c r="AK43" s="25"/>
      <c r="AL43" s="28" t="s">
        <v>75</v>
      </c>
      <c r="AM43" s="25"/>
    </row>
    <row r="44" spans="1:39" ht="10.5" customHeight="1" x14ac:dyDescent="0.35">
      <c r="A44" s="5">
        <v>10119</v>
      </c>
      <c r="B44" t="s">
        <v>81</v>
      </c>
      <c r="C44" s="33" t="s">
        <v>103</v>
      </c>
      <c r="D44" s="25"/>
      <c r="E44" s="25"/>
      <c r="F44" s="25"/>
      <c r="G44" s="25"/>
      <c r="H44" s="25"/>
      <c r="I44" s="25"/>
      <c r="J44" s="6">
        <v>45383</v>
      </c>
      <c r="K44" s="29">
        <v>46112</v>
      </c>
      <c r="L44" s="25"/>
      <c r="M44" s="25"/>
      <c r="N44" s="7">
        <f t="shared" ca="1" si="5"/>
        <v>1</v>
      </c>
      <c r="O44" s="28" t="str">
        <f t="shared" ca="1" si="6"/>
        <v>11/12</v>
      </c>
      <c r="P44" s="25"/>
      <c r="Q44" s="6">
        <v>45748</v>
      </c>
      <c r="R44" s="29">
        <v>46112</v>
      </c>
      <c r="S44" s="25"/>
      <c r="T44" s="25"/>
      <c r="U44" s="25"/>
      <c r="W44" s="9" t="s">
        <v>73</v>
      </c>
      <c r="X44" s="10" t="s">
        <v>74</v>
      </c>
      <c r="Y44" s="28" t="s">
        <v>74</v>
      </c>
      <c r="Z44" s="25"/>
      <c r="AA44" s="25"/>
      <c r="AB44" s="8" t="s">
        <v>74</v>
      </c>
      <c r="AC44" s="11">
        <f t="shared" ca="1" si="7"/>
        <v>30</v>
      </c>
      <c r="AE44" s="30">
        <v>20</v>
      </c>
      <c r="AF44" s="25"/>
      <c r="AG44" s="11">
        <f t="shared" ca="1" si="8"/>
        <v>10</v>
      </c>
      <c r="AH44" s="29">
        <f t="shared" ca="1" si="9"/>
        <v>46468</v>
      </c>
      <c r="AI44" s="25"/>
      <c r="AJ44" s="28" t="s">
        <v>75</v>
      </c>
      <c r="AK44" s="25"/>
      <c r="AL44" s="28" t="s">
        <v>98</v>
      </c>
      <c r="AM44" s="25"/>
    </row>
    <row r="45" spans="1:39" ht="10.5" customHeight="1" x14ac:dyDescent="0.35">
      <c r="N45" s="12">
        <f t="shared" ca="1" si="5"/>
        <v>0</v>
      </c>
      <c r="O45" s="12" t="str">
        <f t="shared" ca="1" si="6"/>
        <v>01/12</v>
      </c>
      <c r="Q45" s="6">
        <v>46113</v>
      </c>
      <c r="R45" s="29">
        <v>46477</v>
      </c>
      <c r="S45" s="25"/>
      <c r="T45" s="25"/>
      <c r="U45" s="25"/>
      <c r="W45" s="9" t="s">
        <v>73</v>
      </c>
      <c r="X45" s="10" t="s">
        <v>74</v>
      </c>
      <c r="Y45" s="28" t="s">
        <v>74</v>
      </c>
      <c r="Z45" s="25"/>
      <c r="AA45" s="25"/>
      <c r="AB45" s="8" t="s">
        <v>74</v>
      </c>
      <c r="AC45" s="11">
        <f t="shared" ca="1" si="7"/>
        <v>2.5</v>
      </c>
      <c r="AE45" s="30">
        <v>0</v>
      </c>
      <c r="AF45" s="25"/>
      <c r="AG45" s="11">
        <f t="shared" ca="1" si="8"/>
        <v>2.5</v>
      </c>
      <c r="AH45" s="29">
        <f t="shared" ca="1" si="9"/>
        <v>46841.5</v>
      </c>
      <c r="AI45" s="25"/>
      <c r="AJ45" s="28" t="s">
        <v>75</v>
      </c>
      <c r="AK45" s="25"/>
      <c r="AL45" s="28" t="s">
        <v>75</v>
      </c>
      <c r="AM45" s="25"/>
    </row>
    <row r="46" spans="1:39" ht="10.5" customHeight="1" x14ac:dyDescent="0.35">
      <c r="A46" s="5">
        <v>10137</v>
      </c>
      <c r="B46" t="s">
        <v>83</v>
      </c>
      <c r="C46" s="33" t="s">
        <v>104</v>
      </c>
      <c r="D46" s="25"/>
      <c r="E46" s="25"/>
      <c r="F46" s="25"/>
      <c r="G46" s="25"/>
      <c r="H46" s="25"/>
      <c r="I46" s="25"/>
      <c r="J46" s="6">
        <v>45770</v>
      </c>
      <c r="K46" s="29">
        <v>46134</v>
      </c>
      <c r="L46" s="25"/>
      <c r="M46" s="25"/>
      <c r="N46" s="7">
        <f t="shared" ca="1" si="5"/>
        <v>1</v>
      </c>
      <c r="O46" s="28" t="str">
        <f t="shared" ca="1" si="6"/>
        <v>11/12</v>
      </c>
      <c r="P46" s="25"/>
      <c r="Q46" s="6">
        <v>45770</v>
      </c>
      <c r="R46" s="29">
        <v>46134</v>
      </c>
      <c r="S46" s="25"/>
      <c r="T46" s="25"/>
      <c r="U46" s="25"/>
      <c r="W46" s="9" t="s">
        <v>73</v>
      </c>
      <c r="X46" s="10" t="s">
        <v>74</v>
      </c>
      <c r="Y46" s="28" t="s">
        <v>74</v>
      </c>
      <c r="Z46" s="25"/>
      <c r="AA46" s="25"/>
      <c r="AB46" s="8" t="s">
        <v>74</v>
      </c>
      <c r="AC46" s="11">
        <f t="shared" ca="1" si="7"/>
        <v>30</v>
      </c>
      <c r="AE46" s="30">
        <v>0</v>
      </c>
      <c r="AF46" s="25"/>
      <c r="AG46" s="11">
        <f t="shared" ca="1" si="8"/>
        <v>30</v>
      </c>
      <c r="AH46" s="29">
        <f t="shared" ca="1" si="9"/>
        <v>46470</v>
      </c>
      <c r="AI46" s="25"/>
      <c r="AJ46" s="28" t="s">
        <v>75</v>
      </c>
      <c r="AK46" s="25"/>
      <c r="AL46" s="28" t="s">
        <v>75</v>
      </c>
      <c r="AM46" s="25"/>
    </row>
    <row r="47" spans="1:39" ht="10.5" customHeight="1" x14ac:dyDescent="0.35">
      <c r="N47" s="12">
        <f t="shared" ca="1" si="5"/>
        <v>0</v>
      </c>
      <c r="O47" s="12" t="str">
        <f t="shared" ca="1" si="6"/>
        <v>01/12</v>
      </c>
      <c r="Q47" s="6">
        <v>46135</v>
      </c>
      <c r="R47" s="29">
        <v>46499</v>
      </c>
      <c r="S47" s="25"/>
      <c r="T47" s="25"/>
      <c r="U47" s="25"/>
      <c r="W47" s="9" t="s">
        <v>73</v>
      </c>
      <c r="X47" s="10" t="s">
        <v>74</v>
      </c>
      <c r="Y47" s="28" t="s">
        <v>74</v>
      </c>
      <c r="Z47" s="25"/>
      <c r="AA47" s="25"/>
      <c r="AB47" s="8" t="s">
        <v>74</v>
      </c>
      <c r="AC47" s="11">
        <f t="shared" ca="1" si="7"/>
        <v>2.5</v>
      </c>
      <c r="AE47" s="30">
        <v>0</v>
      </c>
      <c r="AF47" s="25"/>
      <c r="AG47" s="11">
        <f t="shared" ca="1" si="8"/>
        <v>2.5</v>
      </c>
      <c r="AH47" s="29">
        <f t="shared" ca="1" si="9"/>
        <v>46863.5</v>
      </c>
      <c r="AI47" s="25"/>
      <c r="AJ47" s="28" t="s">
        <v>75</v>
      </c>
      <c r="AK47" s="25"/>
      <c r="AL47" s="28" t="s">
        <v>75</v>
      </c>
      <c r="AM47" s="25"/>
    </row>
    <row r="48" spans="1:39" ht="10.5" customHeight="1" x14ac:dyDescent="0.35">
      <c r="A48" s="5">
        <v>10138</v>
      </c>
      <c r="B48" t="s">
        <v>78</v>
      </c>
      <c r="C48" s="33" t="s">
        <v>105</v>
      </c>
      <c r="D48" s="25"/>
      <c r="E48" s="25"/>
      <c r="F48" s="25"/>
      <c r="G48" s="25"/>
      <c r="H48" s="25"/>
      <c r="I48" s="25"/>
      <c r="J48" s="6">
        <v>45779</v>
      </c>
      <c r="K48" s="29">
        <v>46143</v>
      </c>
      <c r="L48" s="25"/>
      <c r="M48" s="25"/>
      <c r="N48" s="7">
        <f t="shared" ca="1" si="5"/>
        <v>1</v>
      </c>
      <c r="O48" s="28" t="str">
        <f t="shared" ca="1" si="6"/>
        <v>11/12</v>
      </c>
      <c r="P48" s="25"/>
      <c r="Q48" s="6">
        <v>45779</v>
      </c>
      <c r="R48" s="29">
        <v>46143</v>
      </c>
      <c r="S48" s="25"/>
      <c r="T48" s="25"/>
      <c r="U48" s="25"/>
      <c r="W48" s="9" t="s">
        <v>73</v>
      </c>
      <c r="X48" s="10" t="s">
        <v>74</v>
      </c>
      <c r="Y48" s="28" t="s">
        <v>74</v>
      </c>
      <c r="Z48" s="25"/>
      <c r="AA48" s="25"/>
      <c r="AB48" s="8" t="s">
        <v>74</v>
      </c>
      <c r="AC48" s="11">
        <f t="shared" ca="1" si="7"/>
        <v>30</v>
      </c>
      <c r="AE48" s="30">
        <v>0</v>
      </c>
      <c r="AF48" s="25"/>
      <c r="AG48" s="11">
        <f t="shared" ca="1" si="8"/>
        <v>30</v>
      </c>
      <c r="AH48" s="29">
        <f t="shared" ca="1" si="9"/>
        <v>46479</v>
      </c>
      <c r="AI48" s="25"/>
      <c r="AJ48" s="28" t="s">
        <v>75</v>
      </c>
      <c r="AK48" s="25"/>
      <c r="AL48" s="28" t="s">
        <v>75</v>
      </c>
      <c r="AM48" s="25"/>
    </row>
    <row r="49" spans="1:39" ht="10.5" customHeight="1" x14ac:dyDescent="0.35">
      <c r="N49" s="12">
        <f t="shared" ca="1" si="5"/>
        <v>0</v>
      </c>
      <c r="O49" s="12" t="str">
        <f t="shared" ca="1" si="6"/>
        <v>00/12</v>
      </c>
      <c r="Q49" s="6">
        <v>46144</v>
      </c>
      <c r="R49" s="29">
        <v>46508</v>
      </c>
      <c r="S49" s="25"/>
      <c r="T49" s="25"/>
      <c r="U49" s="25"/>
      <c r="W49" s="9" t="s">
        <v>73</v>
      </c>
      <c r="X49" s="10" t="s">
        <v>74</v>
      </c>
      <c r="Y49" s="28" t="s">
        <v>74</v>
      </c>
      <c r="Z49" s="25"/>
      <c r="AA49" s="25"/>
      <c r="AB49" s="8" t="s">
        <v>74</v>
      </c>
      <c r="AC49" s="11">
        <f t="shared" ca="1" si="7"/>
        <v>0</v>
      </c>
      <c r="AE49" s="30">
        <v>0</v>
      </c>
      <c r="AF49" s="25"/>
      <c r="AG49" s="11">
        <f t="shared" ca="1" si="8"/>
        <v>0</v>
      </c>
      <c r="AH49" s="29">
        <f t="shared" ca="1" si="9"/>
        <v>46875</v>
      </c>
      <c r="AI49" s="25"/>
      <c r="AJ49" s="28" t="s">
        <v>75</v>
      </c>
      <c r="AK49" s="25"/>
      <c r="AL49" s="28" t="s">
        <v>75</v>
      </c>
      <c r="AM49" s="25"/>
    </row>
    <row r="50" spans="1:39" ht="10.5" customHeight="1" x14ac:dyDescent="0.35">
      <c r="A50" s="5">
        <v>10065</v>
      </c>
      <c r="B50" t="s">
        <v>78</v>
      </c>
      <c r="C50" s="33" t="s">
        <v>106</v>
      </c>
      <c r="D50" s="25"/>
      <c r="E50" s="25"/>
      <c r="F50" s="25"/>
      <c r="G50" s="25"/>
      <c r="H50" s="25"/>
      <c r="I50" s="25"/>
      <c r="J50" s="6">
        <v>40665</v>
      </c>
      <c r="K50" s="29">
        <v>46143</v>
      </c>
      <c r="L50" s="25"/>
      <c r="M50" s="25"/>
      <c r="N50" s="7">
        <f t="shared" ca="1" si="5"/>
        <v>1</v>
      </c>
      <c r="O50" s="28" t="str">
        <f t="shared" ca="1" si="6"/>
        <v>11/12</v>
      </c>
      <c r="P50" s="25"/>
      <c r="Q50" s="6">
        <v>45779</v>
      </c>
      <c r="R50" s="29">
        <v>46143</v>
      </c>
      <c r="S50" s="25"/>
      <c r="T50" s="25"/>
      <c r="U50" s="25"/>
      <c r="W50" s="9" t="s">
        <v>73</v>
      </c>
      <c r="X50" s="10" t="s">
        <v>74</v>
      </c>
      <c r="Y50" s="28" t="s">
        <v>74</v>
      </c>
      <c r="Z50" s="25"/>
      <c r="AA50" s="25"/>
      <c r="AB50" s="8" t="s">
        <v>74</v>
      </c>
      <c r="AC50" s="11">
        <f t="shared" ca="1" si="7"/>
        <v>30</v>
      </c>
      <c r="AE50" s="30">
        <v>0</v>
      </c>
      <c r="AF50" s="25"/>
      <c r="AG50" s="11">
        <f t="shared" ca="1" si="8"/>
        <v>30</v>
      </c>
      <c r="AH50" s="29">
        <f t="shared" ca="1" si="9"/>
        <v>46479</v>
      </c>
      <c r="AI50" s="25"/>
      <c r="AJ50" s="28" t="s">
        <v>75</v>
      </c>
      <c r="AK50" s="25"/>
      <c r="AL50" s="28" t="s">
        <v>75</v>
      </c>
      <c r="AM50" s="25"/>
    </row>
    <row r="51" spans="1:39" ht="10.5" customHeight="1" x14ac:dyDescent="0.35">
      <c r="N51" s="12">
        <f t="shared" ca="1" si="5"/>
        <v>0</v>
      </c>
      <c r="O51" s="12" t="str">
        <f t="shared" ca="1" si="6"/>
        <v>00/12</v>
      </c>
      <c r="Q51" s="6">
        <v>46144</v>
      </c>
      <c r="R51" s="29">
        <v>46508</v>
      </c>
      <c r="S51" s="25"/>
      <c r="T51" s="25"/>
      <c r="U51" s="25"/>
      <c r="W51" s="9" t="s">
        <v>73</v>
      </c>
      <c r="X51" s="10" t="s">
        <v>74</v>
      </c>
      <c r="Y51" s="28" t="s">
        <v>74</v>
      </c>
      <c r="Z51" s="25"/>
      <c r="AA51" s="25"/>
      <c r="AB51" s="8" t="s">
        <v>74</v>
      </c>
      <c r="AC51" s="11">
        <f t="shared" ca="1" si="7"/>
        <v>0</v>
      </c>
      <c r="AE51" s="30">
        <v>0</v>
      </c>
      <c r="AF51" s="25"/>
      <c r="AG51" s="11">
        <f t="shared" ca="1" si="8"/>
        <v>0</v>
      </c>
      <c r="AH51" s="29">
        <f t="shared" ca="1" si="9"/>
        <v>46875</v>
      </c>
      <c r="AI51" s="25"/>
      <c r="AJ51" s="28" t="s">
        <v>75</v>
      </c>
      <c r="AK51" s="25"/>
      <c r="AL51" s="28" t="s">
        <v>75</v>
      </c>
      <c r="AM51" s="25"/>
    </row>
    <row r="52" spans="1:39" ht="10.5" customHeight="1" x14ac:dyDescent="0.35">
      <c r="A52" s="5">
        <v>10120</v>
      </c>
      <c r="B52" t="s">
        <v>107</v>
      </c>
      <c r="C52" s="33" t="s">
        <v>108</v>
      </c>
      <c r="D52" s="25"/>
      <c r="E52" s="25"/>
      <c r="F52" s="25"/>
      <c r="G52" s="25"/>
      <c r="H52" s="25"/>
      <c r="I52" s="25"/>
      <c r="J52" s="6">
        <v>45433</v>
      </c>
      <c r="K52" s="29">
        <v>46162</v>
      </c>
      <c r="L52" s="25"/>
      <c r="M52" s="25"/>
      <c r="N52" s="7">
        <f t="shared" ca="1" si="5"/>
        <v>1</v>
      </c>
      <c r="O52" s="28" t="str">
        <f t="shared" ca="1" si="6"/>
        <v>11/12</v>
      </c>
      <c r="P52" s="25"/>
      <c r="Q52" s="6">
        <v>45798</v>
      </c>
      <c r="R52" s="29">
        <v>46162</v>
      </c>
      <c r="S52" s="25"/>
      <c r="T52" s="25"/>
      <c r="U52" s="25"/>
      <c r="W52" s="9" t="s">
        <v>73</v>
      </c>
      <c r="X52" s="10" t="s">
        <v>74</v>
      </c>
      <c r="Y52" s="28" t="s">
        <v>74</v>
      </c>
      <c r="Z52" s="25"/>
      <c r="AA52" s="25"/>
      <c r="AB52" s="8" t="s">
        <v>74</v>
      </c>
      <c r="AC52" s="11">
        <f t="shared" ca="1" si="7"/>
        <v>30</v>
      </c>
      <c r="AE52" s="30">
        <v>0</v>
      </c>
      <c r="AF52" s="25"/>
      <c r="AG52" s="11">
        <f t="shared" ca="1" si="8"/>
        <v>30</v>
      </c>
      <c r="AH52" s="29">
        <f t="shared" ca="1" si="9"/>
        <v>46498</v>
      </c>
      <c r="AI52" s="25"/>
      <c r="AJ52" s="28" t="s">
        <v>75</v>
      </c>
      <c r="AK52" s="25"/>
      <c r="AL52" s="28" t="s">
        <v>75</v>
      </c>
      <c r="AM52" s="25"/>
    </row>
    <row r="53" spans="1:39" ht="10.5" customHeight="1" x14ac:dyDescent="0.35">
      <c r="N53" s="12">
        <f t="shared" ca="1" si="5"/>
        <v>0</v>
      </c>
      <c r="O53" s="12" t="str">
        <f t="shared" ca="1" si="6"/>
        <v>00/12</v>
      </c>
      <c r="Q53" s="6">
        <v>46163</v>
      </c>
      <c r="R53" s="29">
        <v>46527</v>
      </c>
      <c r="S53" s="25"/>
      <c r="T53" s="25"/>
      <c r="U53" s="25"/>
      <c r="W53" s="9" t="s">
        <v>73</v>
      </c>
      <c r="X53" s="10" t="s">
        <v>74</v>
      </c>
      <c r="Y53" s="28" t="s">
        <v>74</v>
      </c>
      <c r="Z53" s="25"/>
      <c r="AA53" s="25"/>
      <c r="AB53" s="8" t="s">
        <v>74</v>
      </c>
      <c r="AC53" s="11">
        <f t="shared" ca="1" si="7"/>
        <v>0</v>
      </c>
      <c r="AE53" s="30">
        <v>0</v>
      </c>
      <c r="AF53" s="25"/>
      <c r="AG53" s="11">
        <f t="shared" ca="1" si="8"/>
        <v>0</v>
      </c>
      <c r="AH53" s="29">
        <f t="shared" ca="1" si="9"/>
        <v>46894</v>
      </c>
      <c r="AI53" s="25"/>
      <c r="AJ53" s="28" t="s">
        <v>75</v>
      </c>
      <c r="AK53" s="25"/>
      <c r="AL53" s="28" t="s">
        <v>75</v>
      </c>
      <c r="AM53" s="25"/>
    </row>
    <row r="54" spans="1:39" ht="10.5" customHeight="1" x14ac:dyDescent="0.35">
      <c r="A54" s="5">
        <v>10141</v>
      </c>
      <c r="B54" t="s">
        <v>86</v>
      </c>
      <c r="C54" s="33" t="s">
        <v>109</v>
      </c>
      <c r="D54" s="25"/>
      <c r="E54" s="25"/>
      <c r="F54" s="25"/>
      <c r="G54" s="25"/>
      <c r="H54" s="25"/>
      <c r="I54" s="25"/>
      <c r="J54" s="6">
        <v>45817</v>
      </c>
      <c r="K54" s="29">
        <v>46181</v>
      </c>
      <c r="L54" s="25"/>
      <c r="M54" s="25"/>
      <c r="N54" s="7">
        <f t="shared" ca="1" si="5"/>
        <v>0</v>
      </c>
      <c r="O54" s="28" t="str">
        <f t="shared" ca="1" si="6"/>
        <v>11/12</v>
      </c>
      <c r="P54" s="25"/>
      <c r="Q54" s="6">
        <v>45817</v>
      </c>
      <c r="R54" s="29">
        <v>46181</v>
      </c>
      <c r="S54" s="25"/>
      <c r="T54" s="25"/>
      <c r="U54" s="25"/>
      <c r="W54" s="9" t="s">
        <v>73</v>
      </c>
      <c r="X54" s="10" t="s">
        <v>74</v>
      </c>
      <c r="Y54" s="28" t="s">
        <v>74</v>
      </c>
      <c r="Z54" s="25"/>
      <c r="AA54" s="25"/>
      <c r="AB54" s="8" t="s">
        <v>74</v>
      </c>
      <c r="AC54" s="11">
        <f t="shared" ca="1" si="7"/>
        <v>27.5</v>
      </c>
      <c r="AE54" s="30">
        <v>0</v>
      </c>
      <c r="AF54" s="25"/>
      <c r="AG54" s="11">
        <f t="shared" ca="1" si="8"/>
        <v>27.5</v>
      </c>
      <c r="AH54" s="29">
        <f t="shared" ca="1" si="9"/>
        <v>46519.5</v>
      </c>
      <c r="AI54" s="25"/>
      <c r="AJ54" s="28" t="s">
        <v>75</v>
      </c>
      <c r="AK54" s="25"/>
      <c r="AL54" s="28" t="s">
        <v>75</v>
      </c>
      <c r="AM54" s="25"/>
    </row>
    <row r="55" spans="1:39" ht="10.5" customHeight="1" x14ac:dyDescent="0.35">
      <c r="A55" s="5">
        <v>10142</v>
      </c>
      <c r="B55" t="s">
        <v>71</v>
      </c>
      <c r="C55" s="33" t="s">
        <v>110</v>
      </c>
      <c r="D55" s="25"/>
      <c r="E55" s="25"/>
      <c r="F55" s="25"/>
      <c r="G55" s="25"/>
      <c r="H55" s="25"/>
      <c r="I55" s="25"/>
      <c r="J55" s="6">
        <v>45839</v>
      </c>
      <c r="K55" s="29">
        <v>46203</v>
      </c>
      <c r="L55" s="25"/>
      <c r="M55" s="25"/>
      <c r="N55" s="7">
        <f t="shared" ca="1" si="5"/>
        <v>0</v>
      </c>
      <c r="O55" s="28" t="str">
        <f t="shared" ca="1" si="6"/>
        <v>10/12</v>
      </c>
      <c r="P55" s="25"/>
      <c r="Q55" s="6">
        <v>45839</v>
      </c>
      <c r="R55" s="29">
        <v>46203</v>
      </c>
      <c r="S55" s="25"/>
      <c r="T55" s="25"/>
      <c r="U55" s="25"/>
      <c r="W55" s="9" t="s">
        <v>73</v>
      </c>
      <c r="X55" s="10" t="s">
        <v>74</v>
      </c>
      <c r="Y55" s="28" t="s">
        <v>74</v>
      </c>
      <c r="Z55" s="25"/>
      <c r="AA55" s="25"/>
      <c r="AB55" s="8" t="s">
        <v>74</v>
      </c>
      <c r="AC55" s="11">
        <f t="shared" ca="1" si="7"/>
        <v>25</v>
      </c>
      <c r="AE55" s="30">
        <v>0</v>
      </c>
      <c r="AF55" s="25"/>
      <c r="AG55" s="11">
        <f t="shared" ca="1" si="8"/>
        <v>25</v>
      </c>
      <c r="AH55" s="29">
        <f t="shared" ca="1" si="9"/>
        <v>46544</v>
      </c>
      <c r="AI55" s="25"/>
      <c r="AJ55" s="28" t="s">
        <v>75</v>
      </c>
      <c r="AK55" s="25"/>
      <c r="AL55" s="28" t="s">
        <v>75</v>
      </c>
      <c r="AM55" s="25"/>
    </row>
    <row r="56" spans="1:39" ht="10.5" customHeight="1" x14ac:dyDescent="0.35">
      <c r="A56" s="5">
        <v>10122</v>
      </c>
      <c r="B56" t="s">
        <v>78</v>
      </c>
      <c r="C56" s="33" t="s">
        <v>111</v>
      </c>
      <c r="D56" s="25"/>
      <c r="E56" s="25"/>
      <c r="F56" s="25"/>
      <c r="G56" s="25"/>
      <c r="H56" s="25"/>
      <c r="I56" s="25"/>
      <c r="J56" s="6">
        <v>45474</v>
      </c>
      <c r="K56" s="29">
        <v>46203</v>
      </c>
      <c r="L56" s="25"/>
      <c r="M56" s="25"/>
      <c r="N56" s="7">
        <f t="shared" ca="1" si="5"/>
        <v>0</v>
      </c>
      <c r="O56" s="28" t="str">
        <f t="shared" ca="1" si="6"/>
        <v>10/12</v>
      </c>
      <c r="P56" s="25"/>
      <c r="Q56" s="6">
        <v>45839</v>
      </c>
      <c r="R56" s="29">
        <v>46203</v>
      </c>
      <c r="S56" s="25"/>
      <c r="T56" s="25"/>
      <c r="U56" s="25"/>
      <c r="W56" s="9" t="s">
        <v>73</v>
      </c>
      <c r="X56" s="10" t="s">
        <v>74</v>
      </c>
      <c r="Y56" s="28" t="s">
        <v>74</v>
      </c>
      <c r="Z56" s="25"/>
      <c r="AA56" s="25"/>
      <c r="AB56" s="8" t="s">
        <v>74</v>
      </c>
      <c r="AC56" s="11">
        <f t="shared" ca="1" si="7"/>
        <v>25</v>
      </c>
      <c r="AE56" s="30">
        <v>0</v>
      </c>
      <c r="AF56" s="25"/>
      <c r="AG56" s="11">
        <f t="shared" ca="1" si="8"/>
        <v>25</v>
      </c>
      <c r="AH56" s="29">
        <f t="shared" ca="1" si="9"/>
        <v>46544</v>
      </c>
      <c r="AI56" s="25"/>
      <c r="AJ56" s="28" t="s">
        <v>75</v>
      </c>
      <c r="AK56" s="25"/>
      <c r="AL56" s="28" t="s">
        <v>98</v>
      </c>
      <c r="AM56" s="25"/>
    </row>
    <row r="57" spans="1:39" ht="10.5" customHeight="1" x14ac:dyDescent="0.35">
      <c r="A57" s="5">
        <v>10100</v>
      </c>
      <c r="B57" t="s">
        <v>107</v>
      </c>
      <c r="C57" s="33" t="s">
        <v>112</v>
      </c>
      <c r="D57" s="25"/>
      <c r="E57" s="25"/>
      <c r="F57" s="25"/>
      <c r="G57" s="25"/>
      <c r="H57" s="25"/>
      <c r="I57" s="25"/>
      <c r="J57" s="6">
        <v>45119</v>
      </c>
      <c r="K57" s="29">
        <v>46214</v>
      </c>
      <c r="L57" s="25"/>
      <c r="M57" s="25"/>
      <c r="N57" s="7">
        <f t="shared" ca="1" si="5"/>
        <v>0</v>
      </c>
      <c r="O57" s="28" t="str">
        <f t="shared" ca="1" si="6"/>
        <v>10/12</v>
      </c>
      <c r="P57" s="25"/>
      <c r="Q57" s="6">
        <v>45850</v>
      </c>
      <c r="R57" s="29">
        <v>46214</v>
      </c>
      <c r="S57" s="25"/>
      <c r="T57" s="25"/>
      <c r="U57" s="25"/>
      <c r="W57" s="9" t="s">
        <v>73</v>
      </c>
      <c r="X57" s="10" t="s">
        <v>74</v>
      </c>
      <c r="Y57" s="28" t="s">
        <v>74</v>
      </c>
      <c r="Z57" s="25"/>
      <c r="AA57" s="25"/>
      <c r="AB57" s="8" t="s">
        <v>74</v>
      </c>
      <c r="AC57" s="11">
        <f t="shared" ca="1" si="7"/>
        <v>25</v>
      </c>
      <c r="AE57" s="30">
        <v>0</v>
      </c>
      <c r="AF57" s="25"/>
      <c r="AG57" s="11">
        <f t="shared" ca="1" si="8"/>
        <v>25</v>
      </c>
      <c r="AH57" s="29">
        <f t="shared" ca="1" si="9"/>
        <v>46555</v>
      </c>
      <c r="AI57" s="25"/>
      <c r="AJ57" s="28" t="s">
        <v>75</v>
      </c>
      <c r="AK57" s="25"/>
      <c r="AL57" s="28" t="s">
        <v>75</v>
      </c>
      <c r="AM57" s="25"/>
    </row>
    <row r="58" spans="1:39" ht="10.5" customHeight="1" x14ac:dyDescent="0.35">
      <c r="A58" s="5">
        <v>10123</v>
      </c>
      <c r="B58" t="s">
        <v>78</v>
      </c>
      <c r="C58" s="33" t="s">
        <v>113</v>
      </c>
      <c r="D58" s="25"/>
      <c r="E58" s="25"/>
      <c r="F58" s="25"/>
      <c r="G58" s="25"/>
      <c r="H58" s="25"/>
      <c r="I58" s="25"/>
      <c r="J58" s="6">
        <v>45491</v>
      </c>
      <c r="K58" s="29">
        <v>46220</v>
      </c>
      <c r="L58" s="25"/>
      <c r="M58" s="25"/>
      <c r="N58" s="7">
        <f t="shared" ca="1" si="5"/>
        <v>0</v>
      </c>
      <c r="O58" s="28" t="str">
        <f t="shared" ca="1" si="6"/>
        <v>10/12</v>
      </c>
      <c r="P58" s="25"/>
      <c r="Q58" s="6">
        <v>45856</v>
      </c>
      <c r="R58" s="29">
        <v>46220</v>
      </c>
      <c r="S58" s="25"/>
      <c r="T58" s="25"/>
      <c r="U58" s="25"/>
      <c r="W58" s="9" t="s">
        <v>73</v>
      </c>
      <c r="X58" s="10" t="s">
        <v>74</v>
      </c>
      <c r="Y58" s="28" t="s">
        <v>74</v>
      </c>
      <c r="Z58" s="25"/>
      <c r="AA58" s="25"/>
      <c r="AB58" s="8" t="s">
        <v>74</v>
      </c>
      <c r="AC58" s="11">
        <f t="shared" ca="1" si="7"/>
        <v>25</v>
      </c>
      <c r="AE58" s="30">
        <v>0</v>
      </c>
      <c r="AF58" s="25"/>
      <c r="AG58" s="11">
        <f t="shared" ca="1" si="8"/>
        <v>25</v>
      </c>
      <c r="AH58" s="29">
        <f t="shared" ca="1" si="9"/>
        <v>46561</v>
      </c>
      <c r="AI58" s="25"/>
      <c r="AJ58" s="28" t="s">
        <v>75</v>
      </c>
      <c r="AK58" s="25"/>
      <c r="AL58" s="28" t="s">
        <v>76</v>
      </c>
      <c r="AM58" s="25"/>
    </row>
    <row r="59" spans="1:39" ht="10.5" customHeight="1" x14ac:dyDescent="0.35">
      <c r="A59" s="5">
        <v>10064</v>
      </c>
      <c r="B59" t="s">
        <v>78</v>
      </c>
      <c r="C59" s="33" t="s">
        <v>114</v>
      </c>
      <c r="D59" s="25"/>
      <c r="E59" s="25"/>
      <c r="F59" s="25"/>
      <c r="G59" s="25"/>
      <c r="H59" s="25"/>
      <c r="I59" s="25"/>
      <c r="J59" s="6">
        <v>40382</v>
      </c>
      <c r="K59" s="29">
        <v>46225</v>
      </c>
      <c r="L59" s="25"/>
      <c r="M59" s="25"/>
      <c r="N59" s="7">
        <f t="shared" ca="1" si="5"/>
        <v>0</v>
      </c>
      <c r="O59" s="28" t="str">
        <f t="shared" ca="1" si="6"/>
        <v>10/12</v>
      </c>
      <c r="P59" s="25"/>
      <c r="Q59" s="6">
        <v>45861</v>
      </c>
      <c r="R59" s="29">
        <v>46225</v>
      </c>
      <c r="S59" s="25"/>
      <c r="T59" s="25"/>
      <c r="U59" s="25"/>
      <c r="W59" s="9" t="s">
        <v>73</v>
      </c>
      <c r="X59" s="10" t="s">
        <v>74</v>
      </c>
      <c r="Y59" s="28" t="s">
        <v>74</v>
      </c>
      <c r="Z59" s="25"/>
      <c r="AA59" s="25"/>
      <c r="AB59" s="8" t="s">
        <v>74</v>
      </c>
      <c r="AC59" s="11">
        <f t="shared" ca="1" si="7"/>
        <v>25</v>
      </c>
      <c r="AE59" s="30">
        <v>0</v>
      </c>
      <c r="AF59" s="25"/>
      <c r="AG59" s="11">
        <f t="shared" ca="1" si="8"/>
        <v>25</v>
      </c>
      <c r="AH59" s="29">
        <f t="shared" ca="1" si="9"/>
        <v>46566</v>
      </c>
      <c r="AI59" s="25"/>
      <c r="AJ59" s="28" t="s">
        <v>75</v>
      </c>
      <c r="AK59" s="25"/>
      <c r="AL59" s="28" t="s">
        <v>75</v>
      </c>
      <c r="AM59" s="25"/>
    </row>
    <row r="60" spans="1:39" ht="10.5" customHeight="1" x14ac:dyDescent="0.35">
      <c r="A60" s="5">
        <v>10090</v>
      </c>
      <c r="B60" t="s">
        <v>83</v>
      </c>
      <c r="C60" s="33" t="s">
        <v>115</v>
      </c>
      <c r="D60" s="25"/>
      <c r="E60" s="25"/>
      <c r="F60" s="25"/>
      <c r="G60" s="25"/>
      <c r="H60" s="25"/>
      <c r="I60" s="25"/>
      <c r="J60" s="6">
        <v>44774</v>
      </c>
      <c r="K60" s="29">
        <v>46234</v>
      </c>
      <c r="L60" s="25"/>
      <c r="M60" s="25"/>
      <c r="N60" s="7">
        <f t="shared" ca="1" si="5"/>
        <v>0</v>
      </c>
      <c r="O60" s="28" t="str">
        <f t="shared" ca="1" si="6"/>
        <v>09/12</v>
      </c>
      <c r="P60" s="25"/>
      <c r="Q60" s="6">
        <v>45870</v>
      </c>
      <c r="R60" s="29">
        <v>46234</v>
      </c>
      <c r="S60" s="25"/>
      <c r="T60" s="25"/>
      <c r="U60" s="25"/>
      <c r="W60" s="9" t="s">
        <v>73</v>
      </c>
      <c r="X60" s="10" t="s">
        <v>74</v>
      </c>
      <c r="Y60" s="28" t="s">
        <v>74</v>
      </c>
      <c r="Z60" s="25"/>
      <c r="AA60" s="25"/>
      <c r="AB60" s="8" t="s">
        <v>74</v>
      </c>
      <c r="AC60" s="11">
        <f t="shared" ca="1" si="7"/>
        <v>22.5</v>
      </c>
      <c r="AE60" s="30">
        <v>0</v>
      </c>
      <c r="AF60" s="25"/>
      <c r="AG60" s="11">
        <f t="shared" ca="1" si="8"/>
        <v>22.5</v>
      </c>
      <c r="AH60" s="29">
        <f t="shared" ca="1" si="9"/>
        <v>46577.5</v>
      </c>
      <c r="AI60" s="25"/>
      <c r="AJ60" s="28" t="s">
        <v>75</v>
      </c>
      <c r="AK60" s="25"/>
      <c r="AL60" s="28" t="s">
        <v>75</v>
      </c>
      <c r="AM60" s="25"/>
    </row>
    <row r="61" spans="1:39" ht="10.5" customHeight="1" x14ac:dyDescent="0.35">
      <c r="A61" s="5">
        <v>10125</v>
      </c>
      <c r="B61" t="s">
        <v>71</v>
      </c>
      <c r="C61" s="33" t="s">
        <v>116</v>
      </c>
      <c r="D61" s="25"/>
      <c r="E61" s="25"/>
      <c r="F61" s="25"/>
      <c r="G61" s="25"/>
      <c r="H61" s="25"/>
      <c r="I61" s="25"/>
      <c r="J61" s="6">
        <v>45516</v>
      </c>
      <c r="K61" s="29">
        <v>46245</v>
      </c>
      <c r="L61" s="25"/>
      <c r="M61" s="25"/>
      <c r="N61" s="7">
        <f t="shared" ca="1" si="5"/>
        <v>0</v>
      </c>
      <c r="O61" s="28" t="str">
        <f t="shared" ca="1" si="6"/>
        <v>09/12</v>
      </c>
      <c r="P61" s="25"/>
      <c r="Q61" s="6">
        <v>45881</v>
      </c>
      <c r="R61" s="29">
        <v>46245</v>
      </c>
      <c r="S61" s="25"/>
      <c r="T61" s="25"/>
      <c r="U61" s="25"/>
      <c r="W61" s="9" t="s">
        <v>73</v>
      </c>
      <c r="X61" s="10" t="s">
        <v>74</v>
      </c>
      <c r="Y61" s="28" t="s">
        <v>74</v>
      </c>
      <c r="Z61" s="25"/>
      <c r="AA61" s="25"/>
      <c r="AB61" s="8" t="s">
        <v>74</v>
      </c>
      <c r="AC61" s="11">
        <f t="shared" ca="1" si="7"/>
        <v>22.5</v>
      </c>
      <c r="AE61" s="30">
        <v>0</v>
      </c>
      <c r="AF61" s="25"/>
      <c r="AG61" s="11">
        <f t="shared" ca="1" si="8"/>
        <v>22.5</v>
      </c>
      <c r="AH61" s="29">
        <f t="shared" ca="1" si="9"/>
        <v>46588.5</v>
      </c>
      <c r="AI61" s="25"/>
      <c r="AJ61" s="28" t="s">
        <v>75</v>
      </c>
      <c r="AK61" s="25"/>
      <c r="AL61" s="28" t="s">
        <v>75</v>
      </c>
      <c r="AM61" s="25"/>
    </row>
    <row r="62" spans="1:39" ht="10.5" customHeight="1" x14ac:dyDescent="0.35">
      <c r="A62" s="5">
        <v>10107</v>
      </c>
      <c r="B62" t="s">
        <v>86</v>
      </c>
      <c r="C62" s="33" t="s">
        <v>117</v>
      </c>
      <c r="D62" s="25"/>
      <c r="E62" s="25"/>
      <c r="F62" s="25"/>
      <c r="G62" s="25"/>
      <c r="H62" s="25"/>
      <c r="I62" s="25"/>
      <c r="J62" s="6">
        <v>45163</v>
      </c>
      <c r="K62" s="29">
        <v>46258</v>
      </c>
      <c r="L62" s="25"/>
      <c r="M62" s="25"/>
      <c r="N62" s="7">
        <f t="shared" ca="1" si="5"/>
        <v>0</v>
      </c>
      <c r="O62" s="28" t="str">
        <f t="shared" ca="1" si="6"/>
        <v>09/12</v>
      </c>
      <c r="P62" s="25"/>
      <c r="Q62" s="6">
        <v>45894</v>
      </c>
      <c r="R62" s="29">
        <v>46258</v>
      </c>
      <c r="S62" s="25"/>
      <c r="T62" s="25"/>
      <c r="U62" s="25"/>
      <c r="W62" s="9" t="s">
        <v>73</v>
      </c>
      <c r="X62" s="10" t="s">
        <v>74</v>
      </c>
      <c r="Y62" s="28" t="s">
        <v>74</v>
      </c>
      <c r="Z62" s="25"/>
      <c r="AA62" s="25"/>
      <c r="AB62" s="8" t="s">
        <v>74</v>
      </c>
      <c r="AC62" s="11">
        <f t="shared" ca="1" si="7"/>
        <v>22.5</v>
      </c>
      <c r="AE62" s="30">
        <v>0</v>
      </c>
      <c r="AF62" s="25"/>
      <c r="AG62" s="11">
        <f t="shared" ca="1" si="8"/>
        <v>22.5</v>
      </c>
      <c r="AH62" s="29">
        <f t="shared" ca="1" si="9"/>
        <v>46601.5</v>
      </c>
      <c r="AI62" s="25"/>
      <c r="AJ62" s="28" t="s">
        <v>75</v>
      </c>
      <c r="AK62" s="25"/>
      <c r="AL62" s="28" t="s">
        <v>75</v>
      </c>
      <c r="AM62" s="25"/>
    </row>
    <row r="63" spans="1:39" ht="10.5" customHeight="1" x14ac:dyDescent="0.35">
      <c r="A63" s="5">
        <v>10145</v>
      </c>
      <c r="B63" t="s">
        <v>81</v>
      </c>
      <c r="C63" s="33" t="s">
        <v>118</v>
      </c>
      <c r="D63" s="25"/>
      <c r="E63" s="25"/>
      <c r="F63" s="25"/>
      <c r="G63" s="25"/>
      <c r="H63" s="25"/>
      <c r="I63" s="25"/>
      <c r="J63" s="6">
        <v>45894</v>
      </c>
      <c r="K63" s="29">
        <v>46258</v>
      </c>
      <c r="L63" s="25"/>
      <c r="M63" s="25"/>
      <c r="N63" s="7">
        <f t="shared" ca="1" si="5"/>
        <v>0</v>
      </c>
      <c r="O63" s="28" t="str">
        <f t="shared" ca="1" si="6"/>
        <v>09/12</v>
      </c>
      <c r="P63" s="25"/>
      <c r="Q63" s="6">
        <v>45894</v>
      </c>
      <c r="R63" s="29">
        <v>46258</v>
      </c>
      <c r="S63" s="25"/>
      <c r="T63" s="25"/>
      <c r="U63" s="25"/>
      <c r="W63" s="9" t="s">
        <v>73</v>
      </c>
      <c r="X63" s="10" t="s">
        <v>74</v>
      </c>
      <c r="Y63" s="28" t="s">
        <v>74</v>
      </c>
      <c r="Z63" s="25"/>
      <c r="AA63" s="25"/>
      <c r="AB63" s="8" t="s">
        <v>74</v>
      </c>
      <c r="AC63" s="11">
        <f t="shared" ca="1" si="7"/>
        <v>22.5</v>
      </c>
      <c r="AE63" s="30">
        <v>0</v>
      </c>
      <c r="AF63" s="25"/>
      <c r="AG63" s="11">
        <f t="shared" ca="1" si="8"/>
        <v>22.5</v>
      </c>
      <c r="AH63" s="29">
        <f t="shared" ca="1" si="9"/>
        <v>46601.5</v>
      </c>
      <c r="AI63" s="25"/>
      <c r="AJ63" s="28" t="s">
        <v>75</v>
      </c>
      <c r="AK63" s="25"/>
      <c r="AL63" s="28" t="s">
        <v>98</v>
      </c>
      <c r="AM63" s="25"/>
    </row>
    <row r="64" spans="1:39" ht="10.5" customHeight="1" x14ac:dyDescent="0.35">
      <c r="A64" s="5">
        <v>10068</v>
      </c>
      <c r="B64" t="s">
        <v>83</v>
      </c>
      <c r="C64" s="33" t="s">
        <v>119</v>
      </c>
      <c r="D64" s="25"/>
      <c r="E64" s="25"/>
      <c r="F64" s="25"/>
      <c r="G64" s="25"/>
      <c r="H64" s="25"/>
      <c r="I64" s="25"/>
      <c r="J64" s="6">
        <v>42979</v>
      </c>
      <c r="K64" s="29">
        <v>46265</v>
      </c>
      <c r="L64" s="25"/>
      <c r="M64" s="25"/>
      <c r="N64" s="7">
        <f t="shared" ca="1" si="5"/>
        <v>0</v>
      </c>
      <c r="O64" s="28" t="str">
        <f t="shared" ca="1" si="6"/>
        <v>08/12</v>
      </c>
      <c r="P64" s="25"/>
      <c r="Q64" s="6">
        <v>45901</v>
      </c>
      <c r="R64" s="29">
        <v>46265</v>
      </c>
      <c r="S64" s="25"/>
      <c r="T64" s="25"/>
      <c r="U64" s="25"/>
      <c r="W64" s="9" t="s">
        <v>73</v>
      </c>
      <c r="X64" s="10" t="s">
        <v>74</v>
      </c>
      <c r="Y64" s="28" t="s">
        <v>74</v>
      </c>
      <c r="Z64" s="25"/>
      <c r="AA64" s="25"/>
      <c r="AB64" s="8" t="s">
        <v>74</v>
      </c>
      <c r="AC64" s="11">
        <f t="shared" ca="1" si="7"/>
        <v>20</v>
      </c>
      <c r="AE64" s="30">
        <v>0</v>
      </c>
      <c r="AF64" s="25"/>
      <c r="AG64" s="11">
        <f t="shared" ca="1" si="8"/>
        <v>20</v>
      </c>
      <c r="AH64" s="29">
        <f t="shared" ca="1" si="9"/>
        <v>46611</v>
      </c>
      <c r="AI64" s="25"/>
      <c r="AJ64" s="28" t="s">
        <v>75</v>
      </c>
      <c r="AK64" s="25"/>
      <c r="AL64" s="28" t="s">
        <v>75</v>
      </c>
      <c r="AM64" s="25"/>
    </row>
    <row r="65" spans="1:39" ht="10.5" customHeight="1" x14ac:dyDescent="0.35">
      <c r="A65" s="5">
        <v>10146</v>
      </c>
      <c r="B65" t="s">
        <v>71</v>
      </c>
      <c r="C65" s="33" t="s">
        <v>120</v>
      </c>
      <c r="D65" s="25"/>
      <c r="E65" s="25"/>
      <c r="F65" s="25"/>
      <c r="G65" s="25"/>
      <c r="H65" s="25"/>
      <c r="I65" s="25"/>
      <c r="J65" s="6">
        <v>45901</v>
      </c>
      <c r="K65" s="29">
        <v>46265</v>
      </c>
      <c r="L65" s="25"/>
      <c r="M65" s="25"/>
      <c r="N65" s="7">
        <f t="shared" ca="1" si="5"/>
        <v>0</v>
      </c>
      <c r="O65" s="28" t="str">
        <f t="shared" ca="1" si="6"/>
        <v>08/12</v>
      </c>
      <c r="P65" s="25"/>
      <c r="Q65" s="6">
        <v>45901</v>
      </c>
      <c r="R65" s="29">
        <v>46265</v>
      </c>
      <c r="S65" s="25"/>
      <c r="T65" s="25"/>
      <c r="U65" s="25"/>
      <c r="W65" s="9" t="s">
        <v>73</v>
      </c>
      <c r="X65" s="10" t="s">
        <v>74</v>
      </c>
      <c r="Y65" s="28" t="s">
        <v>74</v>
      </c>
      <c r="Z65" s="25"/>
      <c r="AA65" s="25"/>
      <c r="AB65" s="8" t="s">
        <v>74</v>
      </c>
      <c r="AC65" s="11">
        <f t="shared" ca="1" si="7"/>
        <v>20</v>
      </c>
      <c r="AE65" s="30">
        <v>0</v>
      </c>
      <c r="AF65" s="25"/>
      <c r="AG65" s="11">
        <f t="shared" ca="1" si="8"/>
        <v>20</v>
      </c>
      <c r="AH65" s="29">
        <f t="shared" ca="1" si="9"/>
        <v>46611</v>
      </c>
      <c r="AI65" s="25"/>
      <c r="AJ65" s="28" t="s">
        <v>75</v>
      </c>
      <c r="AK65" s="25"/>
      <c r="AL65" s="28" t="s">
        <v>75</v>
      </c>
      <c r="AM65" s="25"/>
    </row>
    <row r="66" spans="1:39" ht="10.5" customHeight="1" x14ac:dyDescent="0.35">
      <c r="A66" s="5">
        <v>10079</v>
      </c>
      <c r="B66" t="s">
        <v>78</v>
      </c>
      <c r="C66" s="33" t="s">
        <v>121</v>
      </c>
      <c r="D66" s="25"/>
      <c r="E66" s="25"/>
      <c r="F66" s="25"/>
      <c r="G66" s="25"/>
      <c r="H66" s="25"/>
      <c r="I66" s="25"/>
      <c r="J66" s="6">
        <v>44445</v>
      </c>
      <c r="K66" s="29">
        <v>46270</v>
      </c>
      <c r="L66" s="25"/>
      <c r="M66" s="25"/>
      <c r="N66" s="7">
        <f t="shared" ca="1" si="5"/>
        <v>0</v>
      </c>
      <c r="O66" s="28" t="str">
        <f t="shared" ca="1" si="6"/>
        <v>08/12</v>
      </c>
      <c r="P66" s="25"/>
      <c r="Q66" s="6">
        <v>45906</v>
      </c>
      <c r="R66" s="29">
        <v>46270</v>
      </c>
      <c r="S66" s="25"/>
      <c r="T66" s="25"/>
      <c r="U66" s="25"/>
      <c r="W66" s="9" t="s">
        <v>73</v>
      </c>
      <c r="X66" s="10" t="s">
        <v>74</v>
      </c>
      <c r="Y66" s="28" t="s">
        <v>74</v>
      </c>
      <c r="Z66" s="25"/>
      <c r="AA66" s="25"/>
      <c r="AB66" s="8" t="s">
        <v>74</v>
      </c>
      <c r="AC66" s="11">
        <f t="shared" ca="1" si="7"/>
        <v>20</v>
      </c>
      <c r="AE66" s="30">
        <v>0</v>
      </c>
      <c r="AF66" s="25"/>
      <c r="AG66" s="11">
        <f t="shared" ca="1" si="8"/>
        <v>20</v>
      </c>
      <c r="AH66" s="29">
        <f t="shared" ca="1" si="9"/>
        <v>46616</v>
      </c>
      <c r="AI66" s="25"/>
      <c r="AJ66" s="28" t="s">
        <v>75</v>
      </c>
      <c r="AK66" s="25"/>
      <c r="AL66" s="28" t="s">
        <v>75</v>
      </c>
      <c r="AM66" s="25"/>
    </row>
    <row r="67" spans="1:39" ht="10.5" customHeight="1" x14ac:dyDescent="0.35">
      <c r="A67" s="5">
        <v>10080</v>
      </c>
      <c r="B67" t="s">
        <v>78</v>
      </c>
      <c r="C67" s="33" t="s">
        <v>122</v>
      </c>
      <c r="D67" s="25"/>
      <c r="E67" s="25"/>
      <c r="F67" s="25"/>
      <c r="G67" s="25"/>
      <c r="H67" s="25"/>
      <c r="I67" s="25"/>
      <c r="J67" s="6">
        <v>44445</v>
      </c>
      <c r="K67" s="29">
        <v>46270</v>
      </c>
      <c r="L67" s="25"/>
      <c r="M67" s="25"/>
      <c r="N67" s="7">
        <f t="shared" ca="1" si="5"/>
        <v>0</v>
      </c>
      <c r="O67" s="28" t="str">
        <f t="shared" ca="1" si="6"/>
        <v>08/12</v>
      </c>
      <c r="P67" s="25"/>
      <c r="Q67" s="6">
        <v>45906</v>
      </c>
      <c r="R67" s="29">
        <v>46270</v>
      </c>
      <c r="S67" s="25"/>
      <c r="T67" s="25"/>
      <c r="U67" s="25"/>
      <c r="W67" s="9" t="s">
        <v>73</v>
      </c>
      <c r="X67" s="10" t="s">
        <v>74</v>
      </c>
      <c r="Y67" s="28" t="s">
        <v>74</v>
      </c>
      <c r="Z67" s="25"/>
      <c r="AA67" s="25"/>
      <c r="AB67" s="8" t="s">
        <v>74</v>
      </c>
      <c r="AC67" s="11">
        <f t="shared" ca="1" si="7"/>
        <v>20</v>
      </c>
      <c r="AE67" s="30">
        <v>0</v>
      </c>
      <c r="AF67" s="25"/>
      <c r="AG67" s="11">
        <f t="shared" ca="1" si="8"/>
        <v>20</v>
      </c>
      <c r="AH67" s="29">
        <f t="shared" ca="1" si="9"/>
        <v>46616</v>
      </c>
      <c r="AI67" s="25"/>
      <c r="AJ67" s="28" t="s">
        <v>75</v>
      </c>
      <c r="AK67" s="25"/>
      <c r="AL67" s="28" t="s">
        <v>75</v>
      </c>
      <c r="AM67" s="25"/>
    </row>
    <row r="68" spans="1:39" ht="10.5" customHeight="1" x14ac:dyDescent="0.35">
      <c r="A68" s="5">
        <v>10056</v>
      </c>
      <c r="B68" t="s">
        <v>71</v>
      </c>
      <c r="C68" s="33" t="s">
        <v>123</v>
      </c>
      <c r="D68" s="25"/>
      <c r="E68" s="25"/>
      <c r="F68" s="25"/>
      <c r="G68" s="25"/>
      <c r="H68" s="25"/>
      <c r="I68" s="25"/>
      <c r="J68" s="6">
        <v>44085</v>
      </c>
      <c r="K68" s="29">
        <v>46275</v>
      </c>
      <c r="L68" s="25"/>
      <c r="M68" s="25"/>
      <c r="N68" s="7">
        <f t="shared" ca="1" si="5"/>
        <v>0</v>
      </c>
      <c r="O68" s="28" t="str">
        <f t="shared" ca="1" si="6"/>
        <v>08/12</v>
      </c>
      <c r="P68" s="25"/>
      <c r="Q68" s="6">
        <v>45911</v>
      </c>
      <c r="R68" s="29">
        <v>46275</v>
      </c>
      <c r="S68" s="25"/>
      <c r="T68" s="25"/>
      <c r="U68" s="25"/>
      <c r="W68" s="9" t="s">
        <v>73</v>
      </c>
      <c r="X68" s="10" t="s">
        <v>74</v>
      </c>
      <c r="Y68" s="28" t="s">
        <v>74</v>
      </c>
      <c r="Z68" s="25"/>
      <c r="AA68" s="25"/>
      <c r="AB68" s="8" t="s">
        <v>74</v>
      </c>
      <c r="AC68" s="11">
        <f t="shared" ca="1" si="7"/>
        <v>20</v>
      </c>
      <c r="AE68" s="30">
        <v>0</v>
      </c>
      <c r="AF68" s="25"/>
      <c r="AG68" s="11">
        <f t="shared" ca="1" si="8"/>
        <v>20</v>
      </c>
      <c r="AH68" s="29">
        <f t="shared" ca="1" si="9"/>
        <v>46621</v>
      </c>
      <c r="AI68" s="25"/>
      <c r="AJ68" s="28" t="s">
        <v>75</v>
      </c>
      <c r="AK68" s="25"/>
      <c r="AL68" s="28" t="s">
        <v>75</v>
      </c>
      <c r="AM68" s="25"/>
    </row>
    <row r="69" spans="1:39" ht="10.5" customHeight="1" x14ac:dyDescent="0.35">
      <c r="A69" s="5">
        <v>10110</v>
      </c>
      <c r="B69" t="s">
        <v>83</v>
      </c>
      <c r="C69" s="33" t="s">
        <v>124</v>
      </c>
      <c r="D69" s="25"/>
      <c r="E69" s="25"/>
      <c r="F69" s="25"/>
      <c r="G69" s="25"/>
      <c r="H69" s="25"/>
      <c r="I69" s="25"/>
      <c r="J69" s="6">
        <v>45189</v>
      </c>
      <c r="K69" s="29">
        <v>46284</v>
      </c>
      <c r="L69" s="25"/>
      <c r="M69" s="25"/>
      <c r="N69" s="7">
        <f t="shared" ca="1" si="5"/>
        <v>0</v>
      </c>
      <c r="O69" s="28" t="str">
        <f t="shared" ca="1" si="6"/>
        <v>08/12</v>
      </c>
      <c r="P69" s="25"/>
      <c r="Q69" s="6">
        <v>45920</v>
      </c>
      <c r="R69" s="29">
        <v>46284</v>
      </c>
      <c r="S69" s="25"/>
      <c r="T69" s="25"/>
      <c r="U69" s="25"/>
      <c r="W69" s="9" t="s">
        <v>73</v>
      </c>
      <c r="X69" s="10" t="s">
        <v>74</v>
      </c>
      <c r="Y69" s="28" t="s">
        <v>74</v>
      </c>
      <c r="Z69" s="25"/>
      <c r="AA69" s="25"/>
      <c r="AB69" s="8" t="s">
        <v>74</v>
      </c>
      <c r="AC69" s="11">
        <f t="shared" ca="1" si="7"/>
        <v>20</v>
      </c>
      <c r="AE69" s="30">
        <v>0</v>
      </c>
      <c r="AF69" s="25"/>
      <c r="AG69" s="11">
        <f t="shared" ca="1" si="8"/>
        <v>20</v>
      </c>
      <c r="AH69" s="29">
        <f t="shared" ca="1" si="9"/>
        <v>46630</v>
      </c>
      <c r="AI69" s="25"/>
      <c r="AJ69" s="28" t="s">
        <v>75</v>
      </c>
      <c r="AK69" s="25"/>
      <c r="AL69" s="28" t="s">
        <v>75</v>
      </c>
      <c r="AM69" s="25"/>
    </row>
    <row r="70" spans="1:39" ht="10.5" customHeight="1" x14ac:dyDescent="0.35">
      <c r="A70" s="5">
        <v>10081</v>
      </c>
      <c r="B70" t="s">
        <v>71</v>
      </c>
      <c r="C70" s="33" t="s">
        <v>125</v>
      </c>
      <c r="D70" s="25"/>
      <c r="E70" s="25"/>
      <c r="F70" s="25"/>
      <c r="G70" s="25"/>
      <c r="H70" s="25"/>
      <c r="I70" s="25"/>
      <c r="J70" s="6">
        <v>44459</v>
      </c>
      <c r="K70" s="29">
        <v>46284</v>
      </c>
      <c r="L70" s="25"/>
      <c r="M70" s="25"/>
      <c r="N70" s="7">
        <f t="shared" ca="1" si="5"/>
        <v>0</v>
      </c>
      <c r="O70" s="28" t="str">
        <f t="shared" ca="1" si="6"/>
        <v>08/12</v>
      </c>
      <c r="P70" s="25"/>
      <c r="Q70" s="6">
        <v>45920</v>
      </c>
      <c r="R70" s="29">
        <v>46284</v>
      </c>
      <c r="S70" s="25"/>
      <c r="T70" s="25"/>
      <c r="U70" s="25"/>
      <c r="W70" s="9" t="s">
        <v>73</v>
      </c>
      <c r="X70" s="10" t="s">
        <v>74</v>
      </c>
      <c r="Y70" s="28" t="s">
        <v>74</v>
      </c>
      <c r="Z70" s="25"/>
      <c r="AA70" s="25"/>
      <c r="AB70" s="8" t="s">
        <v>74</v>
      </c>
      <c r="AC70" s="11">
        <f t="shared" ca="1" si="7"/>
        <v>20</v>
      </c>
      <c r="AE70" s="30">
        <v>0</v>
      </c>
      <c r="AF70" s="25"/>
      <c r="AG70" s="11">
        <f t="shared" ca="1" si="8"/>
        <v>20</v>
      </c>
      <c r="AH70" s="29">
        <f t="shared" ca="1" si="9"/>
        <v>46630</v>
      </c>
      <c r="AI70" s="25"/>
      <c r="AJ70" s="28" t="s">
        <v>75</v>
      </c>
      <c r="AK70" s="25"/>
      <c r="AL70" s="28" t="s">
        <v>75</v>
      </c>
      <c r="AM70" s="25"/>
    </row>
    <row r="71" spans="1:39" ht="10.5" customHeight="1" x14ac:dyDescent="0.35">
      <c r="A71" s="5">
        <v>10070</v>
      </c>
      <c r="B71" t="s">
        <v>107</v>
      </c>
      <c r="C71" s="33" t="s">
        <v>126</v>
      </c>
      <c r="D71" s="25"/>
      <c r="E71" s="25"/>
      <c r="F71" s="25"/>
      <c r="G71" s="25"/>
      <c r="H71" s="25"/>
      <c r="I71" s="25"/>
      <c r="J71" s="6">
        <v>44106</v>
      </c>
      <c r="K71" s="29">
        <v>46296</v>
      </c>
      <c r="L71" s="25"/>
      <c r="M71" s="25"/>
      <c r="N71" s="7">
        <f t="shared" ca="1" si="5"/>
        <v>0</v>
      </c>
      <c r="O71" s="28" t="str">
        <f t="shared" ca="1" si="6"/>
        <v>07/12</v>
      </c>
      <c r="P71" s="25"/>
      <c r="Q71" s="6">
        <v>45932</v>
      </c>
      <c r="R71" s="29">
        <v>46296</v>
      </c>
      <c r="S71" s="25"/>
      <c r="T71" s="25"/>
      <c r="U71" s="25"/>
      <c r="W71" s="9" t="s">
        <v>73</v>
      </c>
      <c r="X71" s="10" t="s">
        <v>74</v>
      </c>
      <c r="Y71" s="28" t="s">
        <v>74</v>
      </c>
      <c r="Z71" s="25"/>
      <c r="AA71" s="25"/>
      <c r="AB71" s="8" t="s">
        <v>74</v>
      </c>
      <c r="AC71" s="11">
        <f t="shared" ca="1" si="7"/>
        <v>17.5</v>
      </c>
      <c r="AE71" s="30">
        <v>0</v>
      </c>
      <c r="AF71" s="25"/>
      <c r="AG71" s="11">
        <f t="shared" ca="1" si="8"/>
        <v>17.5</v>
      </c>
      <c r="AH71" s="29">
        <f t="shared" ca="1" si="9"/>
        <v>46644.5</v>
      </c>
      <c r="AI71" s="25"/>
      <c r="AJ71" s="28" t="s">
        <v>75</v>
      </c>
      <c r="AK71" s="25"/>
      <c r="AL71" s="28" t="s">
        <v>75</v>
      </c>
      <c r="AM71" s="25"/>
    </row>
    <row r="72" spans="1:39" ht="10.5" customHeight="1" x14ac:dyDescent="0.35">
      <c r="A72" s="5">
        <v>10075</v>
      </c>
      <c r="B72" t="s">
        <v>78</v>
      </c>
      <c r="C72" s="33" t="s">
        <v>127</v>
      </c>
      <c r="D72" s="25"/>
      <c r="E72" s="25"/>
      <c r="F72" s="25"/>
      <c r="G72" s="25"/>
      <c r="H72" s="25"/>
      <c r="I72" s="25"/>
      <c r="J72" s="6">
        <v>43010</v>
      </c>
      <c r="K72" s="29">
        <v>46296</v>
      </c>
      <c r="L72" s="25"/>
      <c r="M72" s="25"/>
      <c r="N72" s="7">
        <f t="shared" ref="N72:N78" ca="1" si="10">IF(MAX(0,AC72-AE72-IF(AND(ISNUMBER(W72),ISNUMBER(X72)),X72,0))&lt;=0,0,IF(R72&lt;$D$3,1,0))</f>
        <v>0</v>
      </c>
      <c r="O72" s="28" t="str">
        <f t="shared" ref="O72:O78" ca="1" si="11">IF(MAX(0,AC72-AE72-IF(AND(ISNUMBER(W72),ISNUMBER(X72)),X72,0))&lt;=0,"00/12",TEXT(MIN(11,MAX(0,DATEDIF(Q72,$D$3,"M"))),"00")&amp;"/12")</f>
        <v>07/12</v>
      </c>
      <c r="P72" s="25"/>
      <c r="Q72" s="6">
        <v>45932</v>
      </c>
      <c r="R72" s="29">
        <v>46296</v>
      </c>
      <c r="S72" s="25"/>
      <c r="T72" s="25"/>
      <c r="U72" s="25"/>
      <c r="W72" s="9" t="s">
        <v>73</v>
      </c>
      <c r="X72" s="10" t="s">
        <v>74</v>
      </c>
      <c r="Y72" s="28" t="s">
        <v>74</v>
      </c>
      <c r="Z72" s="25"/>
      <c r="AA72" s="25"/>
      <c r="AB72" s="8" t="s">
        <v>74</v>
      </c>
      <c r="AC72" s="11">
        <f t="shared" ref="AC72:AC78" ca="1" si="12">IF($D$3&gt;=R72,30,MIN(30,MAX(0,DATEDIF(Q72,$D$3,"M"))*2.5))</f>
        <v>17.5</v>
      </c>
      <c r="AE72" s="30">
        <v>0</v>
      </c>
      <c r="AF72" s="25"/>
      <c r="AG72" s="11">
        <f t="shared" ref="AG72:AG78" ca="1" si="13">MAX(0,AC72-AE72-IF(AND(ISNUMBER(W72),ISNUMBER(X72)),X72,0))</f>
        <v>17.5</v>
      </c>
      <c r="AH72" s="29">
        <f t="shared" ref="AH72:AH78" ca="1" si="14">EDATE(R72,12)-AG72+1</f>
        <v>46644.5</v>
      </c>
      <c r="AI72" s="25"/>
      <c r="AJ72" s="28" t="s">
        <v>75</v>
      </c>
      <c r="AK72" s="25"/>
      <c r="AL72" s="28" t="s">
        <v>98</v>
      </c>
      <c r="AM72" s="25"/>
    </row>
    <row r="73" spans="1:39" ht="10.5" customHeight="1" x14ac:dyDescent="0.35">
      <c r="A73" s="5">
        <v>10047</v>
      </c>
      <c r="B73" t="s">
        <v>81</v>
      </c>
      <c r="C73" s="33" t="s">
        <v>128</v>
      </c>
      <c r="D73" s="25"/>
      <c r="E73" s="25"/>
      <c r="F73" s="25"/>
      <c r="G73" s="25"/>
      <c r="H73" s="25"/>
      <c r="I73" s="25"/>
      <c r="J73" s="6">
        <v>43741</v>
      </c>
      <c r="K73" s="29">
        <v>46297</v>
      </c>
      <c r="L73" s="25"/>
      <c r="M73" s="25"/>
      <c r="N73" s="7">
        <f t="shared" ca="1" si="10"/>
        <v>0</v>
      </c>
      <c r="O73" s="28" t="str">
        <f t="shared" ca="1" si="11"/>
        <v>07/12</v>
      </c>
      <c r="P73" s="25"/>
      <c r="Q73" s="6">
        <v>45933</v>
      </c>
      <c r="R73" s="29">
        <v>46297</v>
      </c>
      <c r="S73" s="25"/>
      <c r="T73" s="25"/>
      <c r="U73" s="25"/>
      <c r="W73" s="9" t="s">
        <v>73</v>
      </c>
      <c r="X73" s="10" t="s">
        <v>74</v>
      </c>
      <c r="Y73" s="28" t="s">
        <v>74</v>
      </c>
      <c r="Z73" s="25"/>
      <c r="AA73" s="25"/>
      <c r="AB73" s="8" t="s">
        <v>74</v>
      </c>
      <c r="AC73" s="11">
        <f t="shared" ca="1" si="12"/>
        <v>17.5</v>
      </c>
      <c r="AE73" s="30">
        <v>0</v>
      </c>
      <c r="AF73" s="25"/>
      <c r="AG73" s="11">
        <f t="shared" ca="1" si="13"/>
        <v>17.5</v>
      </c>
      <c r="AH73" s="29">
        <f t="shared" ca="1" si="14"/>
        <v>46645.5</v>
      </c>
      <c r="AI73" s="25"/>
      <c r="AJ73" s="28" t="s">
        <v>75</v>
      </c>
      <c r="AK73" s="25"/>
      <c r="AL73" s="28" t="s">
        <v>75</v>
      </c>
      <c r="AM73" s="25"/>
    </row>
    <row r="74" spans="1:39" ht="10.5" customHeight="1" x14ac:dyDescent="0.35">
      <c r="A74" s="5">
        <v>10114</v>
      </c>
      <c r="B74" t="s">
        <v>83</v>
      </c>
      <c r="C74" s="33" t="s">
        <v>129</v>
      </c>
      <c r="D74" s="25"/>
      <c r="E74" s="25"/>
      <c r="F74" s="25"/>
      <c r="G74" s="25"/>
      <c r="H74" s="25"/>
      <c r="I74" s="25"/>
      <c r="J74" s="6">
        <v>45261</v>
      </c>
      <c r="K74" s="29">
        <v>46356</v>
      </c>
      <c r="L74" s="25"/>
      <c r="M74" s="25"/>
      <c r="N74" s="7">
        <f t="shared" ca="1" si="10"/>
        <v>0</v>
      </c>
      <c r="O74" s="28" t="str">
        <f t="shared" ca="1" si="11"/>
        <v>05/12</v>
      </c>
      <c r="P74" s="25"/>
      <c r="Q74" s="6">
        <v>45992</v>
      </c>
      <c r="R74" s="29">
        <v>46356</v>
      </c>
      <c r="S74" s="25"/>
      <c r="T74" s="25"/>
      <c r="U74" s="25"/>
      <c r="W74" s="9" t="s">
        <v>73</v>
      </c>
      <c r="X74" s="10" t="s">
        <v>74</v>
      </c>
      <c r="Y74" s="28" t="s">
        <v>74</v>
      </c>
      <c r="Z74" s="25"/>
      <c r="AA74" s="25"/>
      <c r="AB74" s="8" t="s">
        <v>74</v>
      </c>
      <c r="AC74" s="11">
        <f t="shared" ca="1" si="12"/>
        <v>12.5</v>
      </c>
      <c r="AE74" s="30">
        <v>0</v>
      </c>
      <c r="AF74" s="25"/>
      <c r="AG74" s="11">
        <f t="shared" ca="1" si="13"/>
        <v>12.5</v>
      </c>
      <c r="AH74" s="29">
        <f t="shared" ca="1" si="14"/>
        <v>46709.5</v>
      </c>
      <c r="AI74" s="25"/>
      <c r="AJ74" s="28" t="s">
        <v>75</v>
      </c>
      <c r="AK74" s="25"/>
      <c r="AL74" s="28" t="s">
        <v>130</v>
      </c>
      <c r="AM74" s="25"/>
    </row>
    <row r="75" spans="1:39" ht="10.5" customHeight="1" x14ac:dyDescent="0.35">
      <c r="A75" s="5">
        <v>10151</v>
      </c>
      <c r="B75" t="s">
        <v>83</v>
      </c>
      <c r="C75" s="33" t="s">
        <v>131</v>
      </c>
      <c r="D75" s="25"/>
      <c r="E75" s="25"/>
      <c r="F75" s="25"/>
      <c r="G75" s="25"/>
      <c r="H75" s="25"/>
      <c r="I75" s="25"/>
      <c r="J75" s="6">
        <v>46041</v>
      </c>
      <c r="K75" s="29">
        <v>46405</v>
      </c>
      <c r="L75" s="25"/>
      <c r="M75" s="25"/>
      <c r="N75" s="7">
        <f t="shared" ca="1" si="10"/>
        <v>0</v>
      </c>
      <c r="O75" s="28" t="str">
        <f t="shared" ca="1" si="11"/>
        <v>04/12</v>
      </c>
      <c r="P75" s="25"/>
      <c r="Q75" s="6">
        <v>46041</v>
      </c>
      <c r="R75" s="29">
        <v>46405</v>
      </c>
      <c r="S75" s="25"/>
      <c r="T75" s="25"/>
      <c r="U75" s="25"/>
      <c r="W75" s="9" t="s">
        <v>73</v>
      </c>
      <c r="X75" s="10" t="s">
        <v>74</v>
      </c>
      <c r="Y75" s="28" t="s">
        <v>74</v>
      </c>
      <c r="Z75" s="25"/>
      <c r="AA75" s="25"/>
      <c r="AB75" s="8" t="s">
        <v>74</v>
      </c>
      <c r="AC75" s="11">
        <f t="shared" ca="1" si="12"/>
        <v>10</v>
      </c>
      <c r="AE75" s="30">
        <v>0</v>
      </c>
      <c r="AF75" s="25"/>
      <c r="AG75" s="11">
        <f t="shared" ca="1" si="13"/>
        <v>10</v>
      </c>
      <c r="AH75" s="29">
        <f t="shared" ca="1" si="14"/>
        <v>46761</v>
      </c>
      <c r="AI75" s="25"/>
      <c r="AJ75" s="28" t="s">
        <v>75</v>
      </c>
      <c r="AK75" s="25"/>
      <c r="AL75" s="28" t="s">
        <v>75</v>
      </c>
      <c r="AM75" s="25"/>
    </row>
    <row r="76" spans="1:39" ht="10.5" customHeight="1" x14ac:dyDescent="0.35">
      <c r="A76" s="5">
        <v>10153</v>
      </c>
      <c r="B76" t="s">
        <v>81</v>
      </c>
      <c r="C76" s="33" t="s">
        <v>132</v>
      </c>
      <c r="D76" s="25"/>
      <c r="E76" s="25"/>
      <c r="F76" s="25"/>
      <c r="G76" s="25"/>
      <c r="H76" s="25"/>
      <c r="I76" s="25"/>
      <c r="J76" s="6">
        <v>46128</v>
      </c>
      <c r="K76" s="29">
        <v>46492</v>
      </c>
      <c r="L76" s="25"/>
      <c r="M76" s="25"/>
      <c r="N76" s="7">
        <f t="shared" ca="1" si="10"/>
        <v>0</v>
      </c>
      <c r="O76" s="28" t="str">
        <f t="shared" ca="1" si="11"/>
        <v>01/12</v>
      </c>
      <c r="P76" s="25"/>
      <c r="Q76" s="6">
        <v>46128</v>
      </c>
      <c r="R76" s="29">
        <v>46492</v>
      </c>
      <c r="S76" s="25"/>
      <c r="T76" s="25"/>
      <c r="U76" s="25"/>
      <c r="W76" s="9" t="s">
        <v>73</v>
      </c>
      <c r="X76" s="10" t="s">
        <v>74</v>
      </c>
      <c r="Y76" s="28" t="s">
        <v>74</v>
      </c>
      <c r="Z76" s="25"/>
      <c r="AA76" s="25"/>
      <c r="AB76" s="8" t="s">
        <v>74</v>
      </c>
      <c r="AC76" s="11">
        <f t="shared" ca="1" si="12"/>
        <v>2.5</v>
      </c>
      <c r="AE76" s="30">
        <v>0</v>
      </c>
      <c r="AF76" s="25"/>
      <c r="AG76" s="11">
        <f t="shared" ca="1" si="13"/>
        <v>2.5</v>
      </c>
      <c r="AH76" s="29">
        <f t="shared" ca="1" si="14"/>
        <v>46856.5</v>
      </c>
      <c r="AI76" s="25"/>
      <c r="AJ76" s="28" t="s">
        <v>75</v>
      </c>
      <c r="AK76" s="25"/>
      <c r="AL76" s="28" t="s">
        <v>75</v>
      </c>
      <c r="AM76" s="25"/>
    </row>
    <row r="77" spans="1:39" ht="10.5" customHeight="1" x14ac:dyDescent="0.35">
      <c r="A77" s="5">
        <v>10154</v>
      </c>
      <c r="B77" t="s">
        <v>78</v>
      </c>
      <c r="C77" s="33" t="s">
        <v>133</v>
      </c>
      <c r="D77" s="25"/>
      <c r="E77" s="25"/>
      <c r="F77" s="25"/>
      <c r="G77" s="25"/>
      <c r="H77" s="25"/>
      <c r="I77" s="25"/>
      <c r="J77" s="6">
        <v>46154</v>
      </c>
      <c r="K77" s="29">
        <v>46518</v>
      </c>
      <c r="L77" s="25"/>
      <c r="M77" s="25"/>
      <c r="N77" s="7">
        <f t="shared" ca="1" si="10"/>
        <v>0</v>
      </c>
      <c r="O77" s="28" t="str">
        <f t="shared" ca="1" si="11"/>
        <v>00/12</v>
      </c>
      <c r="P77" s="25"/>
      <c r="Q77" s="6">
        <v>46154</v>
      </c>
      <c r="R77" s="29">
        <v>46518</v>
      </c>
      <c r="S77" s="25"/>
      <c r="T77" s="25"/>
      <c r="U77" s="25"/>
      <c r="W77" s="9" t="s">
        <v>73</v>
      </c>
      <c r="X77" s="10" t="s">
        <v>74</v>
      </c>
      <c r="Y77" s="28" t="s">
        <v>74</v>
      </c>
      <c r="Z77" s="25"/>
      <c r="AA77" s="25"/>
      <c r="AB77" s="8" t="s">
        <v>74</v>
      </c>
      <c r="AC77" s="11">
        <f t="shared" ca="1" si="12"/>
        <v>0</v>
      </c>
      <c r="AE77" s="30">
        <v>0</v>
      </c>
      <c r="AF77" s="25"/>
      <c r="AG77" s="11">
        <f t="shared" ca="1" si="13"/>
        <v>0</v>
      </c>
      <c r="AH77" s="29">
        <f t="shared" ca="1" si="14"/>
        <v>46885</v>
      </c>
      <c r="AI77" s="25"/>
      <c r="AJ77" s="28" t="s">
        <v>75</v>
      </c>
      <c r="AK77" s="25"/>
      <c r="AL77" s="28" t="s">
        <v>75</v>
      </c>
      <c r="AM77" s="25"/>
    </row>
    <row r="78" spans="1:39" ht="10.5" customHeight="1" x14ac:dyDescent="0.35">
      <c r="A78" s="5">
        <v>10155</v>
      </c>
      <c r="B78" t="s">
        <v>81</v>
      </c>
      <c r="C78" s="33" t="s">
        <v>134</v>
      </c>
      <c r="D78" s="25"/>
      <c r="E78" s="25"/>
      <c r="F78" s="25"/>
      <c r="G78" s="25"/>
      <c r="H78" s="25"/>
      <c r="I78" s="25"/>
      <c r="J78" s="6">
        <v>46164</v>
      </c>
      <c r="K78" s="29">
        <v>46528</v>
      </c>
      <c r="L78" s="25"/>
      <c r="M78" s="25"/>
      <c r="N78" s="7">
        <f t="shared" ca="1" si="10"/>
        <v>0</v>
      </c>
      <c r="O78" s="28" t="str">
        <f t="shared" ca="1" si="11"/>
        <v>00/12</v>
      </c>
      <c r="P78" s="25"/>
      <c r="Q78" s="6">
        <v>46164</v>
      </c>
      <c r="R78" s="29">
        <v>46528</v>
      </c>
      <c r="S78" s="25"/>
      <c r="T78" s="25"/>
      <c r="U78" s="25"/>
      <c r="W78" s="9" t="s">
        <v>73</v>
      </c>
      <c r="X78" s="10" t="s">
        <v>74</v>
      </c>
      <c r="Y78" s="28" t="s">
        <v>74</v>
      </c>
      <c r="Z78" s="25"/>
      <c r="AA78" s="25"/>
      <c r="AB78" s="8" t="s">
        <v>74</v>
      </c>
      <c r="AC78" s="11">
        <f t="shared" ca="1" si="12"/>
        <v>0</v>
      </c>
      <c r="AE78" s="30">
        <v>0</v>
      </c>
      <c r="AF78" s="25"/>
      <c r="AG78" s="11">
        <f t="shared" ca="1" si="13"/>
        <v>0</v>
      </c>
      <c r="AH78" s="29">
        <f t="shared" ca="1" si="14"/>
        <v>46895</v>
      </c>
      <c r="AI78" s="25"/>
      <c r="AJ78" s="28" t="s">
        <v>75</v>
      </c>
      <c r="AK78" s="25"/>
      <c r="AL78" s="28" t="s">
        <v>75</v>
      </c>
      <c r="AM78" s="25"/>
    </row>
    <row r="79" spans="1:39" ht="12" customHeight="1" x14ac:dyDescent="0.35">
      <c r="W79" s="13"/>
      <c r="X79" s="13"/>
      <c r="AF79" s="35"/>
      <c r="AG79" s="35"/>
      <c r="AH79" s="35"/>
      <c r="AI79" s="35"/>
      <c r="AJ79" s="35"/>
      <c r="AK79" s="37"/>
      <c r="AL79" s="37"/>
      <c r="AM79" s="37"/>
    </row>
    <row r="80" spans="1:39" ht="13.5" customHeight="1" x14ac:dyDescent="0.35">
      <c r="A80" s="35"/>
      <c r="B80" s="35"/>
      <c r="C80" s="35"/>
      <c r="D80" s="35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</row>
    <row r="81" spans="1:24" ht="15.75" customHeight="1" x14ac:dyDescent="0.3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W81" s="13"/>
      <c r="X81" s="13"/>
    </row>
  </sheetData>
  <autoFilter ref="A6:AM78" xr:uid="{00000000-0001-0000-0300-000000000000}">
    <filterColumn colId="10" showButton="0"/>
    <filterColumn colId="12" showButton="0"/>
    <filterColumn colId="17" showButton="0"/>
    <filterColumn colId="18" showButton="0"/>
    <filterColumn colId="19" showButton="0"/>
    <filterColumn colId="20" showButton="0"/>
    <filterColumn colId="29" showButton="0"/>
    <filterColumn colId="30" showButton="0"/>
    <filterColumn colId="33" showButton="0"/>
    <filterColumn colId="35" showButton="0"/>
    <filterColumn colId="37" showButton="0"/>
  </autoFilter>
  <mergeCells count="602">
    <mergeCell ref="AL77:AM77"/>
    <mergeCell ref="AE43:AF43"/>
    <mergeCell ref="O32:P32"/>
    <mergeCell ref="O63:P63"/>
    <mergeCell ref="O26:P26"/>
    <mergeCell ref="C30:I30"/>
    <mergeCell ref="AL37:AM37"/>
    <mergeCell ref="O74:P74"/>
    <mergeCell ref="AL12:AM12"/>
    <mergeCell ref="AH48:AI48"/>
    <mergeCell ref="AL72:AM72"/>
    <mergeCell ref="R13:U13"/>
    <mergeCell ref="O55:P55"/>
    <mergeCell ref="AE31:AF31"/>
    <mergeCell ref="AL27:AM27"/>
    <mergeCell ref="R58:U58"/>
    <mergeCell ref="R78:U78"/>
    <mergeCell ref="O40:P40"/>
    <mergeCell ref="Y66:AA66"/>
    <mergeCell ref="K34:M34"/>
    <mergeCell ref="AL14:AM14"/>
    <mergeCell ref="AE34:AF34"/>
    <mergeCell ref="AE9:AF9"/>
    <mergeCell ref="AH70:AI70"/>
    <mergeCell ref="Y68:AA68"/>
    <mergeCell ref="R55:U55"/>
    <mergeCell ref="K36:M36"/>
    <mergeCell ref="AH45:AI45"/>
    <mergeCell ref="AH32:AI32"/>
    <mergeCell ref="AJ32:AK32"/>
    <mergeCell ref="AE11:AF11"/>
    <mergeCell ref="AE36:AF36"/>
    <mergeCell ref="AH47:AI47"/>
    <mergeCell ref="AH74:AI74"/>
    <mergeCell ref="AJ47:AK47"/>
    <mergeCell ref="K44:M44"/>
    <mergeCell ref="AE50:AF50"/>
    <mergeCell ref="AJ40:AK40"/>
    <mergeCell ref="AH76:AI76"/>
    <mergeCell ref="AJ27:AK27"/>
    <mergeCell ref="AE62:AF62"/>
    <mergeCell ref="AH63:AI63"/>
    <mergeCell ref="R60:U60"/>
    <mergeCell ref="Y12:AA12"/>
    <mergeCell ref="AH50:AI50"/>
    <mergeCell ref="Y61:AA61"/>
    <mergeCell ref="Y48:AA48"/>
    <mergeCell ref="R10:U10"/>
    <mergeCell ref="AJ20:AK20"/>
    <mergeCell ref="AJ38:AK38"/>
    <mergeCell ref="Y36:AA36"/>
    <mergeCell ref="AJ13:AK13"/>
    <mergeCell ref="AH40:AI40"/>
    <mergeCell ref="Y31:AA31"/>
    <mergeCell ref="Y11:AA11"/>
    <mergeCell ref="AE54:AF54"/>
    <mergeCell ref="AE41:AF41"/>
    <mergeCell ref="AJ42:AK42"/>
    <mergeCell ref="Y40:AA40"/>
    <mergeCell ref="AE56:AF56"/>
    <mergeCell ref="C57:I57"/>
    <mergeCell ref="C42:I42"/>
    <mergeCell ref="R33:U33"/>
    <mergeCell ref="C18:I18"/>
    <mergeCell ref="Y46:AA46"/>
    <mergeCell ref="R8:U8"/>
    <mergeCell ref="Y37:AA37"/>
    <mergeCell ref="AL25:AM25"/>
    <mergeCell ref="C34:I34"/>
    <mergeCell ref="AL15:AM15"/>
    <mergeCell ref="AL13:AM13"/>
    <mergeCell ref="K12:M12"/>
    <mergeCell ref="K56:M56"/>
    <mergeCell ref="C28:I28"/>
    <mergeCell ref="AL78:AM78"/>
    <mergeCell ref="AL40:AM40"/>
    <mergeCell ref="Y67:AA67"/>
    <mergeCell ref="O77:P77"/>
    <mergeCell ref="AJ51:AK51"/>
    <mergeCell ref="R74:U74"/>
    <mergeCell ref="AJ35:AK35"/>
    <mergeCell ref="O48:P48"/>
    <mergeCell ref="R77:U77"/>
    <mergeCell ref="AH72:AI72"/>
    <mergeCell ref="AJ72:AK72"/>
    <mergeCell ref="Y77:AA77"/>
    <mergeCell ref="R48:U48"/>
    <mergeCell ref="Y49:AA49"/>
    <mergeCell ref="AH38:AI38"/>
    <mergeCell ref="AE64:AF64"/>
    <mergeCell ref="Y41:AA41"/>
    <mergeCell ref="AE57:AF57"/>
    <mergeCell ref="O71:P71"/>
    <mergeCell ref="Y56:AA56"/>
    <mergeCell ref="AJ45:AK45"/>
    <mergeCell ref="O58:P58"/>
    <mergeCell ref="Y43:AA43"/>
    <mergeCell ref="AE42:AF42"/>
    <mergeCell ref="F80:AL80"/>
    <mergeCell ref="A1:K1"/>
    <mergeCell ref="Y25:AA25"/>
    <mergeCell ref="R23:U23"/>
    <mergeCell ref="R6:V6"/>
    <mergeCell ref="C24:I24"/>
    <mergeCell ref="AJ48:AK48"/>
    <mergeCell ref="AE52:AF52"/>
    <mergeCell ref="AE39:AF39"/>
    <mergeCell ref="O59:P59"/>
    <mergeCell ref="C26:I26"/>
    <mergeCell ref="AJ77:AK77"/>
    <mergeCell ref="AJ33:AK33"/>
    <mergeCell ref="O46:P46"/>
    <mergeCell ref="AL33:AM33"/>
    <mergeCell ref="R34:U34"/>
    <mergeCell ref="AE53:AF53"/>
    <mergeCell ref="AL43:AM43"/>
    <mergeCell ref="O61:P61"/>
    <mergeCell ref="C55:I55"/>
    <mergeCell ref="Y38:AA38"/>
    <mergeCell ref="O76:P76"/>
    <mergeCell ref="AL20:AM20"/>
    <mergeCell ref="O73:P73"/>
    <mergeCell ref="R76:U76"/>
    <mergeCell ref="AH66:AI66"/>
    <mergeCell ref="Y64:AA64"/>
    <mergeCell ref="K63:M63"/>
    <mergeCell ref="Y51:AA51"/>
    <mergeCell ref="C52:I52"/>
    <mergeCell ref="K50:M50"/>
    <mergeCell ref="AL30:AM30"/>
    <mergeCell ref="AJ59:AK59"/>
    <mergeCell ref="AE63:AF63"/>
    <mergeCell ref="AL59:AM59"/>
    <mergeCell ref="AJ46:AK46"/>
    <mergeCell ref="AL46:AM46"/>
    <mergeCell ref="K58:M58"/>
    <mergeCell ref="K52:M52"/>
    <mergeCell ref="AE71:AF71"/>
    <mergeCell ref="AJ61:AK61"/>
    <mergeCell ref="AE58:AF58"/>
    <mergeCell ref="AL61:AM61"/>
    <mergeCell ref="K75:M75"/>
    <mergeCell ref="Y59:AA59"/>
    <mergeCell ref="AE75:AF75"/>
    <mergeCell ref="AL38:AM38"/>
    <mergeCell ref="Y74:AA74"/>
    <mergeCell ref="C8:I8"/>
    <mergeCell ref="AH37:AI37"/>
    <mergeCell ref="AL65:AM65"/>
    <mergeCell ref="AL70:AM70"/>
    <mergeCell ref="Y34:AA34"/>
    <mergeCell ref="C69:I69"/>
    <mergeCell ref="R61:U61"/>
    <mergeCell ref="K42:M42"/>
    <mergeCell ref="A5:W5"/>
    <mergeCell ref="AL35:AM35"/>
    <mergeCell ref="R36:U36"/>
    <mergeCell ref="Y62:AA62"/>
    <mergeCell ref="O10:P10"/>
    <mergeCell ref="AH22:AI22"/>
    <mergeCell ref="AJ22:AK22"/>
    <mergeCell ref="AL22:AM22"/>
    <mergeCell ref="R29:U29"/>
    <mergeCell ref="C65:I65"/>
    <mergeCell ref="C44:I44"/>
    <mergeCell ref="C62:I62"/>
    <mergeCell ref="O69:P69"/>
    <mergeCell ref="AE44:AF44"/>
    <mergeCell ref="Y69:AA69"/>
    <mergeCell ref="AJ58:AK58"/>
    <mergeCell ref="K74:M74"/>
    <mergeCell ref="AE74:AF74"/>
    <mergeCell ref="C40:I40"/>
    <mergeCell ref="C71:I71"/>
    <mergeCell ref="AL75:AM75"/>
    <mergeCell ref="C46:I46"/>
    <mergeCell ref="AE49:AF49"/>
    <mergeCell ref="R47:U47"/>
    <mergeCell ref="AD7:AF7"/>
    <mergeCell ref="Y33:AA33"/>
    <mergeCell ref="AL56:AM56"/>
    <mergeCell ref="R31:U31"/>
    <mergeCell ref="Y75:AA75"/>
    <mergeCell ref="R24:U24"/>
    <mergeCell ref="C63:I63"/>
    <mergeCell ref="C50:I50"/>
    <mergeCell ref="O67:P67"/>
    <mergeCell ref="R26:U26"/>
    <mergeCell ref="AH16:AI16"/>
    <mergeCell ref="AJ41:AK41"/>
    <mergeCell ref="AJ16:AK16"/>
    <mergeCell ref="K55:M55"/>
    <mergeCell ref="AE55:AF55"/>
    <mergeCell ref="AE8:AF8"/>
    <mergeCell ref="AJ2:AM2"/>
    <mergeCell ref="AJ69:AK69"/>
    <mergeCell ref="O16:P16"/>
    <mergeCell ref="AE73:AF73"/>
    <mergeCell ref="K10:M10"/>
    <mergeCell ref="K66:M66"/>
    <mergeCell ref="AH6:AI6"/>
    <mergeCell ref="AJ6:AK6"/>
    <mergeCell ref="AE10:AF10"/>
    <mergeCell ref="AJ62:AK62"/>
    <mergeCell ref="AL62:AM62"/>
    <mergeCell ref="K68:M68"/>
    <mergeCell ref="AJ64:AK64"/>
    <mergeCell ref="AE68:AF68"/>
    <mergeCell ref="AL64:AM64"/>
    <mergeCell ref="R21:U21"/>
    <mergeCell ref="R70:U70"/>
    <mergeCell ref="R32:U32"/>
    <mergeCell ref="Y20:AA20"/>
    <mergeCell ref="Y14:AA14"/>
    <mergeCell ref="AH24:AI24"/>
    <mergeCell ref="AL57:AM57"/>
    <mergeCell ref="AL52:AM52"/>
    <mergeCell ref="AL39:AM39"/>
    <mergeCell ref="A3:C3"/>
    <mergeCell ref="AH18:AI18"/>
    <mergeCell ref="Y22:AA22"/>
    <mergeCell ref="Y78:AA78"/>
    <mergeCell ref="C66:I66"/>
    <mergeCell ref="K8:M8"/>
    <mergeCell ref="AH17:AI17"/>
    <mergeCell ref="AJ17:AK17"/>
    <mergeCell ref="AE21:AF21"/>
    <mergeCell ref="AH53:AI53"/>
    <mergeCell ref="N4:T4"/>
    <mergeCell ref="C77:I77"/>
    <mergeCell ref="AJ57:AK57"/>
    <mergeCell ref="C68:I68"/>
    <mergeCell ref="AH19:AI19"/>
    <mergeCell ref="AJ19:AK19"/>
    <mergeCell ref="AE23:AF23"/>
    <mergeCell ref="AH55:AI55"/>
    <mergeCell ref="K62:M62"/>
    <mergeCell ref="R16:U16"/>
    <mergeCell ref="K18:M18"/>
    <mergeCell ref="R45:U45"/>
    <mergeCell ref="C59:I59"/>
    <mergeCell ref="AJ3:AM3"/>
    <mergeCell ref="C61:I61"/>
    <mergeCell ref="AH12:AI12"/>
    <mergeCell ref="AJ12:AK12"/>
    <mergeCell ref="AD6:AF6"/>
    <mergeCell ref="Y10:AA10"/>
    <mergeCell ref="C48:I48"/>
    <mergeCell ref="AE76:AF76"/>
    <mergeCell ref="K67:M67"/>
    <mergeCell ref="AH14:AI14"/>
    <mergeCell ref="Y17:AA17"/>
    <mergeCell ref="AJ14:AK14"/>
    <mergeCell ref="AJ70:AK70"/>
    <mergeCell ref="C74:I74"/>
    <mergeCell ref="C16:I16"/>
    <mergeCell ref="AE26:AF26"/>
    <mergeCell ref="K72:M72"/>
    <mergeCell ref="R17:U17"/>
    <mergeCell ref="R66:U66"/>
    <mergeCell ref="R53:U53"/>
    <mergeCell ref="C7:F7"/>
    <mergeCell ref="R68:U68"/>
    <mergeCell ref="R46:U46"/>
    <mergeCell ref="C76:I76"/>
    <mergeCell ref="AJ43:AK43"/>
    <mergeCell ref="AE24:AF24"/>
    <mergeCell ref="AH25:AI25"/>
    <mergeCell ref="AJ25:AK25"/>
    <mergeCell ref="O38:P38"/>
    <mergeCell ref="K26:M26"/>
    <mergeCell ref="AJ60:AK60"/>
    <mergeCell ref="R42:U42"/>
    <mergeCell ref="AL60:AM60"/>
    <mergeCell ref="K76:M76"/>
    <mergeCell ref="Y35:AA35"/>
    <mergeCell ref="AL34:AM34"/>
    <mergeCell ref="K46:M46"/>
    <mergeCell ref="K40:M40"/>
    <mergeCell ref="AL49:AM49"/>
    <mergeCell ref="Y26:AA26"/>
    <mergeCell ref="AL36:AM36"/>
    <mergeCell ref="K71:M71"/>
    <mergeCell ref="R52:U52"/>
    <mergeCell ref="AH67:AI67"/>
    <mergeCell ref="AJ67:AK67"/>
    <mergeCell ref="Y65:AA65"/>
    <mergeCell ref="R44:U44"/>
    <mergeCell ref="AE33:AF33"/>
    <mergeCell ref="K73:M73"/>
    <mergeCell ref="M6:N6"/>
    <mergeCell ref="C64:I64"/>
    <mergeCell ref="AH64:AI64"/>
    <mergeCell ref="AH15:AI15"/>
    <mergeCell ref="AJ15:AK15"/>
    <mergeCell ref="AH51:AI51"/>
    <mergeCell ref="AL71:AM71"/>
    <mergeCell ref="AH30:AI30"/>
    <mergeCell ref="R37:U37"/>
    <mergeCell ref="C20:I20"/>
    <mergeCell ref="O62:P62"/>
    <mergeCell ref="C22:I22"/>
    <mergeCell ref="AJ29:AK29"/>
    <mergeCell ref="AL29:AM29"/>
    <mergeCell ref="AJ44:AK44"/>
    <mergeCell ref="O57:P57"/>
    <mergeCell ref="AL44:AM44"/>
    <mergeCell ref="AJ31:AK31"/>
    <mergeCell ref="AL31:AM31"/>
    <mergeCell ref="AE51:AF51"/>
    <mergeCell ref="R56:U56"/>
    <mergeCell ref="AH71:AI71"/>
    <mergeCell ref="AJ71:AK71"/>
    <mergeCell ref="R43:U43"/>
    <mergeCell ref="AF79:AJ79"/>
    <mergeCell ref="O64:P64"/>
    <mergeCell ref="AL8:AM8"/>
    <mergeCell ref="AL73:AM73"/>
    <mergeCell ref="O72:P72"/>
    <mergeCell ref="AL10:AM10"/>
    <mergeCell ref="Y54:AA54"/>
    <mergeCell ref="AE70:AF70"/>
    <mergeCell ref="K32:M32"/>
    <mergeCell ref="AL74:AM74"/>
    <mergeCell ref="AH77:AI77"/>
    <mergeCell ref="AE32:AF32"/>
    <mergeCell ref="AH33:AI33"/>
    <mergeCell ref="R51:U51"/>
    <mergeCell ref="AH41:AI41"/>
    <mergeCell ref="AL54:AM54"/>
    <mergeCell ref="K20:M20"/>
    <mergeCell ref="AE45:AF45"/>
    <mergeCell ref="Y39:AA39"/>
    <mergeCell ref="Y44:AA44"/>
    <mergeCell ref="AH65:AI65"/>
    <mergeCell ref="AL76:AM76"/>
    <mergeCell ref="O65:P65"/>
    <mergeCell ref="Y70:AA70"/>
    <mergeCell ref="AJ1:AM1"/>
    <mergeCell ref="AK79:AM79"/>
    <mergeCell ref="AE47:AF47"/>
    <mergeCell ref="AH35:AI35"/>
    <mergeCell ref="D2:H2"/>
    <mergeCell ref="Y13:AA13"/>
    <mergeCell ref="O54:P54"/>
    <mergeCell ref="R67:U67"/>
    <mergeCell ref="AJ28:AK28"/>
    <mergeCell ref="AL28:AM28"/>
    <mergeCell ref="C14:I14"/>
    <mergeCell ref="AL21:AM21"/>
    <mergeCell ref="AJ30:AK30"/>
    <mergeCell ref="AH59:AI59"/>
    <mergeCell ref="R69:U69"/>
    <mergeCell ref="Y8:AA8"/>
    <mergeCell ref="AH46:AI46"/>
    <mergeCell ref="K16:M16"/>
    <mergeCell ref="AL23:AM23"/>
    <mergeCell ref="AE60:AF60"/>
    <mergeCell ref="AH61:AI61"/>
    <mergeCell ref="O60:P60"/>
    <mergeCell ref="AH54:AI54"/>
    <mergeCell ref="AJ54:AK54"/>
    <mergeCell ref="T1:W1"/>
    <mergeCell ref="AH56:AI56"/>
    <mergeCell ref="AJ56:AK56"/>
    <mergeCell ref="K22:M22"/>
    <mergeCell ref="AE59:AF59"/>
    <mergeCell ref="AE22:AF22"/>
    <mergeCell ref="AE46:AF46"/>
    <mergeCell ref="R18:U18"/>
    <mergeCell ref="Y28:AA28"/>
    <mergeCell ref="O44:P44"/>
    <mergeCell ref="Y57:AA57"/>
    <mergeCell ref="R19:U19"/>
    <mergeCell ref="AH34:AI34"/>
    <mergeCell ref="AH9:AI9"/>
    <mergeCell ref="AJ34:AK34"/>
    <mergeCell ref="Y32:AA32"/>
    <mergeCell ref="Y23:AA23"/>
    <mergeCell ref="AE48:AF48"/>
    <mergeCell ref="AH49:AI49"/>
    <mergeCell ref="AJ49:AK49"/>
    <mergeCell ref="AH36:AI36"/>
    <mergeCell ref="AH11:AI11"/>
    <mergeCell ref="O56:P56"/>
    <mergeCell ref="AJ36:AK36"/>
    <mergeCell ref="C38:I38"/>
    <mergeCell ref="AE66:AF66"/>
    <mergeCell ref="Y60:AA60"/>
    <mergeCell ref="K59:M59"/>
    <mergeCell ref="Z7:AA7"/>
    <mergeCell ref="AL26:AM26"/>
    <mergeCell ref="Y45:AA45"/>
    <mergeCell ref="K61:M61"/>
    <mergeCell ref="K48:M48"/>
    <mergeCell ref="AE61:AF61"/>
    <mergeCell ref="AL55:AM55"/>
    <mergeCell ref="AL48:AM48"/>
    <mergeCell ref="O66:P66"/>
    <mergeCell ref="C60:I60"/>
    <mergeCell ref="K60:M60"/>
    <mergeCell ref="AH13:AI13"/>
    <mergeCell ref="Y30:AA30"/>
    <mergeCell ref="R54:U54"/>
    <mergeCell ref="R41:U41"/>
    <mergeCell ref="Y29:AA29"/>
    <mergeCell ref="AJ7:AK7"/>
    <mergeCell ref="O20:P20"/>
    <mergeCell ref="AL7:AM7"/>
    <mergeCell ref="AH43:AI43"/>
    <mergeCell ref="C10:I10"/>
    <mergeCell ref="Y42:AA42"/>
    <mergeCell ref="AL42:AM42"/>
    <mergeCell ref="AL17:AM17"/>
    <mergeCell ref="O70:P70"/>
    <mergeCell ref="A80:D80"/>
    <mergeCell ref="R27:U27"/>
    <mergeCell ref="Y15:AA15"/>
    <mergeCell ref="Y71:AA71"/>
    <mergeCell ref="AL19:AM19"/>
    <mergeCell ref="Y58:AA58"/>
    <mergeCell ref="R20:U20"/>
    <mergeCell ref="AH75:AI75"/>
    <mergeCell ref="AJ75:AK75"/>
    <mergeCell ref="Y73:AA73"/>
    <mergeCell ref="AL45:AM45"/>
    <mergeCell ref="AL32:AM32"/>
    <mergeCell ref="AL47:AM47"/>
    <mergeCell ref="AL63:AM63"/>
    <mergeCell ref="AL50:AM50"/>
    <mergeCell ref="AJ78:AK78"/>
    <mergeCell ref="Y76:AA76"/>
    <mergeCell ref="R72:U72"/>
    <mergeCell ref="AH62:AI62"/>
    <mergeCell ref="D3:G3"/>
    <mergeCell ref="AJ50:AK50"/>
    <mergeCell ref="R22:U22"/>
    <mergeCell ref="AE16:AF16"/>
    <mergeCell ref="AH52:AI52"/>
    <mergeCell ref="C72:I72"/>
    <mergeCell ref="AJ52:AK52"/>
    <mergeCell ref="AJ39:AK39"/>
    <mergeCell ref="AE18:AF18"/>
    <mergeCell ref="R9:U9"/>
    <mergeCell ref="R11:U11"/>
    <mergeCell ref="R38:U38"/>
    <mergeCell ref="L7:N7"/>
    <mergeCell ref="AH7:AI7"/>
    <mergeCell ref="R7:V7"/>
    <mergeCell ref="K57:M57"/>
    <mergeCell ref="AJ53:AK53"/>
    <mergeCell ref="R30:U30"/>
    <mergeCell ref="AE19:AF19"/>
    <mergeCell ref="AE65:AF65"/>
    <mergeCell ref="O8:P8"/>
    <mergeCell ref="AJ55:AK55"/>
    <mergeCell ref="Y63:AA63"/>
    <mergeCell ref="R12:U12"/>
    <mergeCell ref="A81:R81"/>
    <mergeCell ref="R40:U40"/>
    <mergeCell ref="Y53:AA53"/>
    <mergeCell ref="K69:M69"/>
    <mergeCell ref="R15:U15"/>
    <mergeCell ref="C54:I54"/>
    <mergeCell ref="AJ65:AK65"/>
    <mergeCell ref="O12:P12"/>
    <mergeCell ref="AE69:AF69"/>
    <mergeCell ref="Y55:AA55"/>
    <mergeCell ref="C56:I56"/>
    <mergeCell ref="K54:M54"/>
    <mergeCell ref="AJ63:AK63"/>
    <mergeCell ref="O14:P14"/>
    <mergeCell ref="R35:U35"/>
    <mergeCell ref="K64:M64"/>
    <mergeCell ref="C36:I36"/>
    <mergeCell ref="O78:P78"/>
    <mergeCell ref="AE72:AF72"/>
    <mergeCell ref="C67:I67"/>
    <mergeCell ref="AH20:AI20"/>
    <mergeCell ref="R28:U28"/>
    <mergeCell ref="AE17:AF17"/>
    <mergeCell ref="AH78:AI78"/>
    <mergeCell ref="AH8:AI8"/>
    <mergeCell ref="AJ8:AK8"/>
    <mergeCell ref="AE12:AF12"/>
    <mergeCell ref="AH73:AI73"/>
    <mergeCell ref="AJ73:AK73"/>
    <mergeCell ref="K14:M14"/>
    <mergeCell ref="K70:M70"/>
    <mergeCell ref="AH10:AI10"/>
    <mergeCell ref="AJ10:AK10"/>
    <mergeCell ref="AE14:AF14"/>
    <mergeCell ref="AJ66:AK66"/>
    <mergeCell ref="R25:U25"/>
    <mergeCell ref="Y24:AA24"/>
    <mergeCell ref="R63:U63"/>
    <mergeCell ref="AE67:AF67"/>
    <mergeCell ref="O68:P68"/>
    <mergeCell ref="R71:U71"/>
    <mergeCell ref="R73:U73"/>
    <mergeCell ref="O22:P22"/>
    <mergeCell ref="AE29:AF29"/>
    <mergeCell ref="AH68:AI68"/>
    <mergeCell ref="AH27:AI27"/>
    <mergeCell ref="K24:M24"/>
    <mergeCell ref="AE37:AF37"/>
    <mergeCell ref="AL66:AM66"/>
    <mergeCell ref="C58:I58"/>
    <mergeCell ref="AL53:AM53"/>
    <mergeCell ref="K65:M65"/>
    <mergeCell ref="R59:U59"/>
    <mergeCell ref="AE78:AF78"/>
    <mergeCell ref="AH39:AI39"/>
    <mergeCell ref="AJ68:AK68"/>
    <mergeCell ref="AL68:AM68"/>
    <mergeCell ref="AL67:AM67"/>
    <mergeCell ref="C75:I75"/>
    <mergeCell ref="K78:M78"/>
    <mergeCell ref="AJ74:AK74"/>
    <mergeCell ref="Y72:AA72"/>
    <mergeCell ref="AJ76:AK76"/>
    <mergeCell ref="AL69:AM69"/>
    <mergeCell ref="R75:U75"/>
    <mergeCell ref="C78:I78"/>
    <mergeCell ref="C73:I73"/>
    <mergeCell ref="O75:P75"/>
    <mergeCell ref="K77:M77"/>
    <mergeCell ref="AE77:AF77"/>
    <mergeCell ref="AL58:AM58"/>
    <mergeCell ref="AH69:AI69"/>
    <mergeCell ref="C12:I12"/>
    <mergeCell ref="AH28:AI28"/>
    <mergeCell ref="AE27:AF27"/>
    <mergeCell ref="K6:L6"/>
    <mergeCell ref="V3:Z3"/>
    <mergeCell ref="C70:I70"/>
    <mergeCell ref="AE20:AF20"/>
    <mergeCell ref="AH21:AI21"/>
    <mergeCell ref="AJ21:AK21"/>
    <mergeCell ref="AE25:AF25"/>
    <mergeCell ref="Y19:AA19"/>
    <mergeCell ref="O28:P28"/>
    <mergeCell ref="O34:P34"/>
    <mergeCell ref="C32:I32"/>
    <mergeCell ref="AE35:AF35"/>
    <mergeCell ref="AH23:AI23"/>
    <mergeCell ref="AH58:AI58"/>
    <mergeCell ref="K28:M28"/>
    <mergeCell ref="AH60:AI60"/>
    <mergeCell ref="K30:M30"/>
    <mergeCell ref="R65:U65"/>
    <mergeCell ref="Y9:AA9"/>
    <mergeCell ref="AH57:AI57"/>
    <mergeCell ref="R50:U50"/>
    <mergeCell ref="A2:C2"/>
    <mergeCell ref="AJ23:AK23"/>
    <mergeCell ref="O36:P36"/>
    <mergeCell ref="O30:P30"/>
    <mergeCell ref="AL41:AM41"/>
    <mergeCell ref="AL16:AM16"/>
    <mergeCell ref="R64:U64"/>
    <mergeCell ref="R57:U57"/>
    <mergeCell ref="AJ18:AK18"/>
    <mergeCell ref="K38:M38"/>
    <mergeCell ref="AL18:AM18"/>
    <mergeCell ref="R49:U49"/>
    <mergeCell ref="AE38:AF38"/>
    <mergeCell ref="AE13:AF13"/>
    <mergeCell ref="Y47:AA47"/>
    <mergeCell ref="AE40:AF40"/>
    <mergeCell ref="AE15:AF15"/>
    <mergeCell ref="AJ9:AK9"/>
    <mergeCell ref="Y21:AA21"/>
    <mergeCell ref="AL9:AM9"/>
    <mergeCell ref="R62:U62"/>
    <mergeCell ref="AL6:AM6"/>
    <mergeCell ref="AJ11:AK11"/>
    <mergeCell ref="O24:P24"/>
    <mergeCell ref="AL11:AM11"/>
    <mergeCell ref="Y50:AA50"/>
    <mergeCell ref="O18:P18"/>
    <mergeCell ref="Y16:AA16"/>
    <mergeCell ref="AH42:AI42"/>
    <mergeCell ref="Y52:AA52"/>
    <mergeCell ref="R39:U39"/>
    <mergeCell ref="R14:U14"/>
    <mergeCell ref="AH29:AI29"/>
    <mergeCell ref="Y27:AA27"/>
    <mergeCell ref="Y18:AA18"/>
    <mergeCell ref="AH44:AI44"/>
    <mergeCell ref="AH31:AI31"/>
    <mergeCell ref="AJ37:AK37"/>
    <mergeCell ref="O50:P50"/>
    <mergeCell ref="AJ24:AK24"/>
    <mergeCell ref="AE28:AF28"/>
    <mergeCell ref="AL24:AM24"/>
    <mergeCell ref="O42:P42"/>
    <mergeCell ref="O52:P52"/>
    <mergeCell ref="AH26:AI26"/>
    <mergeCell ref="AJ26:AK26"/>
    <mergeCell ref="AE30:AF30"/>
    <mergeCell ref="AL51:AM51"/>
  </mergeCells>
  <pageMargins left="0.75" right="0.74791666666666701" top="1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1"/>
  <sheetViews>
    <sheetView topLeftCell="A10" workbookViewId="0">
      <selection sqref="A1:XFD1048576"/>
    </sheetView>
  </sheetViews>
  <sheetFormatPr defaultColWidth="9.08984375" defaultRowHeight="12.75" customHeight="1" x14ac:dyDescent="0.35"/>
  <cols>
    <col min="1" max="1" width="7.36328125" customWidth="1"/>
    <col min="2" max="2" width="17.08984375" customWidth="1"/>
    <col min="3" max="3" width="2.26953125" customWidth="1"/>
    <col min="4" max="4" width="3.54296875" customWidth="1"/>
    <col min="5" max="5" width="1.54296875" customWidth="1"/>
    <col min="6" max="6" width="6.81640625" customWidth="1"/>
    <col min="7" max="7" width="5" customWidth="1"/>
    <col min="8" max="8" width="14.36328125" customWidth="1"/>
    <col min="9" max="9" width="5" customWidth="1"/>
    <col min="10" max="10" width="11.36328125" customWidth="1"/>
    <col min="11" max="11" width="10.08984375" customWidth="1"/>
    <col min="12" max="13" width="1" customWidth="1"/>
    <col min="14" max="14" width="4.08984375" customWidth="1"/>
    <col min="15" max="15" width="1" customWidth="1"/>
    <col min="16" max="16" width="6.08984375" customWidth="1"/>
    <col min="17" max="17" width="13.7265625" customWidth="1"/>
    <col min="18" max="18" width="3" customWidth="1"/>
    <col min="19" max="19" width="2.08984375" customWidth="1"/>
    <col min="20" max="20" width="6.26953125" customWidth="1"/>
    <col min="21" max="21" width="3.7265625" customWidth="1"/>
    <col min="22" max="22" width="1.54296875" customWidth="1"/>
    <col min="23" max="23" width="11.6328125" customWidth="1"/>
    <col min="24" max="24" width="5.6328125" customWidth="1"/>
    <col min="25" max="25" width="1" customWidth="1"/>
    <col min="26" max="26" width="3.81640625" customWidth="1"/>
    <col min="27" max="27" width="3.6328125" customWidth="1"/>
    <col min="28" max="28" width="6" customWidth="1"/>
    <col min="29" max="29" width="5.6328125" customWidth="1"/>
    <col min="30" max="30" width="1" customWidth="1"/>
    <col min="31" max="31" width="2" customWidth="1"/>
    <col min="32" max="32" width="4.26953125" customWidth="1"/>
    <col min="33" max="33" width="6" customWidth="1"/>
    <col min="34" max="34" width="3" customWidth="1"/>
    <col min="35" max="35" width="7.54296875" customWidth="1"/>
    <col min="36" max="36" width="1" customWidth="1"/>
    <col min="37" max="37" width="6" customWidth="1"/>
    <col min="38" max="38" width="1.54296875" customWidth="1"/>
    <col min="39" max="39" width="4.81640625" customWidth="1"/>
  </cols>
  <sheetData>
    <row r="1" spans="1:39" ht="11" customHeight="1" x14ac:dyDescent="0.35">
      <c r="A1" s="46" t="s">
        <v>140</v>
      </c>
      <c r="B1" s="25"/>
      <c r="C1" s="25"/>
      <c r="D1" s="25"/>
      <c r="E1" s="25"/>
      <c r="F1" s="25"/>
      <c r="G1" s="25"/>
      <c r="H1" s="25"/>
      <c r="I1" s="25"/>
      <c r="J1" s="25"/>
      <c r="K1" s="25"/>
      <c r="T1" s="41" t="s">
        <v>40</v>
      </c>
      <c r="U1" s="25"/>
      <c r="V1" s="25"/>
      <c r="W1" s="25"/>
      <c r="AI1" s="14" t="s">
        <v>41</v>
      </c>
      <c r="AJ1" s="49" t="s">
        <v>42</v>
      </c>
      <c r="AK1" s="25"/>
      <c r="AL1" s="25"/>
      <c r="AM1" s="25"/>
    </row>
    <row r="2" spans="1:39" ht="11.75" customHeight="1" x14ac:dyDescent="0.35">
      <c r="A2" s="50" t="s">
        <v>43</v>
      </c>
      <c r="B2" s="25"/>
      <c r="C2" s="25"/>
      <c r="D2" s="41" t="s">
        <v>141</v>
      </c>
      <c r="E2" s="25"/>
      <c r="F2" s="25"/>
      <c r="G2" s="25"/>
      <c r="H2" s="25"/>
      <c r="AI2" s="14" t="s">
        <v>45</v>
      </c>
      <c r="AJ2" s="47">
        <v>46168.525069444448</v>
      </c>
      <c r="AK2" s="25"/>
      <c r="AL2" s="25"/>
      <c r="AM2" s="25"/>
    </row>
    <row r="3" spans="1:39" ht="12.5" customHeight="1" x14ac:dyDescent="0.35">
      <c r="A3" s="44" t="s">
        <v>46</v>
      </c>
      <c r="B3" s="25"/>
      <c r="C3" s="25"/>
      <c r="D3" s="52">
        <f ca="1">TODAY()</f>
        <v>46169</v>
      </c>
      <c r="E3" s="25"/>
      <c r="F3" s="25"/>
      <c r="G3" s="25"/>
      <c r="V3" s="41" t="s">
        <v>40</v>
      </c>
      <c r="W3" s="25"/>
      <c r="X3" s="25"/>
      <c r="Y3" s="25"/>
      <c r="Z3" s="25"/>
      <c r="AI3" s="14" t="s">
        <v>47</v>
      </c>
      <c r="AJ3" s="43">
        <v>46168.525069444448</v>
      </c>
      <c r="AK3" s="25"/>
      <c r="AL3" s="25"/>
      <c r="AM3" s="25"/>
    </row>
    <row r="4" spans="1:39" ht="11.75" customHeight="1" x14ac:dyDescent="0.35">
      <c r="N4" s="42" t="s">
        <v>48</v>
      </c>
      <c r="O4" s="25"/>
      <c r="P4" s="25"/>
      <c r="Q4" s="25"/>
      <c r="R4" s="25"/>
      <c r="S4" s="25"/>
      <c r="T4" s="25"/>
    </row>
    <row r="5" spans="1:39" ht="12.5" customHeight="1" x14ac:dyDescent="0.35">
      <c r="A5" s="41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39" ht="11" customHeight="1" x14ac:dyDescent="0.35">
      <c r="J6" s="15" t="s">
        <v>49</v>
      </c>
      <c r="K6" s="42" t="s">
        <v>50</v>
      </c>
      <c r="L6" s="25"/>
      <c r="M6" s="42" t="s">
        <v>51</v>
      </c>
      <c r="N6" s="25"/>
      <c r="P6" s="15" t="s">
        <v>51</v>
      </c>
      <c r="Q6" s="15" t="s">
        <v>52</v>
      </c>
      <c r="R6" s="42" t="s">
        <v>53</v>
      </c>
      <c r="S6" s="25"/>
      <c r="T6" s="25"/>
      <c r="U6" s="25"/>
      <c r="V6" s="25"/>
      <c r="W6" s="15" t="s">
        <v>52</v>
      </c>
      <c r="AC6" s="15" t="s">
        <v>54</v>
      </c>
      <c r="AD6" s="42" t="s">
        <v>54</v>
      </c>
      <c r="AE6" s="25"/>
      <c r="AF6" s="25"/>
      <c r="AG6" s="15" t="s">
        <v>54</v>
      </c>
      <c r="AH6" s="42" t="s">
        <v>55</v>
      </c>
      <c r="AI6" s="25"/>
      <c r="AJ6" s="42" t="s">
        <v>54</v>
      </c>
      <c r="AK6" s="25"/>
      <c r="AL6" s="42" t="s">
        <v>54</v>
      </c>
      <c r="AM6" s="25"/>
    </row>
    <row r="7" spans="1:39" ht="12.5" customHeight="1" x14ac:dyDescent="0.35">
      <c r="A7" s="16" t="s">
        <v>56</v>
      </c>
      <c r="B7" t="s">
        <v>184</v>
      </c>
      <c r="C7" s="46" t="s">
        <v>57</v>
      </c>
      <c r="D7" s="25"/>
      <c r="E7" s="25"/>
      <c r="F7" s="25"/>
      <c r="J7" s="15" t="s">
        <v>58</v>
      </c>
      <c r="K7" s="15" t="s">
        <v>59</v>
      </c>
      <c r="L7" s="25"/>
      <c r="M7" s="25"/>
      <c r="N7" s="25"/>
      <c r="P7" s="15" t="s">
        <v>60</v>
      </c>
      <c r="Q7" s="15" t="s">
        <v>61</v>
      </c>
      <c r="R7" s="42" t="s">
        <v>61</v>
      </c>
      <c r="S7" s="25"/>
      <c r="T7" s="25"/>
      <c r="U7" s="25"/>
      <c r="V7" s="25"/>
      <c r="W7" s="15" t="s">
        <v>62</v>
      </c>
      <c r="X7" s="15" t="s">
        <v>54</v>
      </c>
      <c r="Z7" s="42" t="s">
        <v>63</v>
      </c>
      <c r="AA7" s="25"/>
      <c r="AB7" s="15" t="s">
        <v>64</v>
      </c>
      <c r="AC7" s="15" t="s">
        <v>65</v>
      </c>
      <c r="AD7" s="42" t="s">
        <v>66</v>
      </c>
      <c r="AE7" s="25"/>
      <c r="AF7" s="25"/>
      <c r="AG7" s="15" t="s">
        <v>67</v>
      </c>
      <c r="AH7" s="42" t="s">
        <v>68</v>
      </c>
      <c r="AI7" s="25"/>
      <c r="AJ7" s="42" t="s">
        <v>69</v>
      </c>
      <c r="AK7" s="25"/>
      <c r="AL7" s="42" t="s">
        <v>70</v>
      </c>
      <c r="AM7" s="25"/>
    </row>
    <row r="8" spans="1:39" ht="11" customHeight="1" x14ac:dyDescent="0.35">
      <c r="A8" s="17">
        <v>3</v>
      </c>
      <c r="B8" t="s">
        <v>107</v>
      </c>
      <c r="C8" s="41" t="s">
        <v>142</v>
      </c>
      <c r="D8" s="25"/>
      <c r="E8" s="25"/>
      <c r="F8" s="25"/>
      <c r="G8" s="25"/>
      <c r="H8" s="25"/>
      <c r="I8" s="25"/>
      <c r="J8" s="18">
        <v>42278</v>
      </c>
      <c r="K8" s="51">
        <v>45930</v>
      </c>
      <c r="L8" s="25"/>
      <c r="M8" s="25"/>
      <c r="N8" s="19">
        <f t="shared" ref="N8:N48" ca="1" si="0">IF(MAX(0,VALUE(AC8)-VALUE(AE8)-IF(AND(ISNUMBER(W8),ISNUMBER(X8)),X8,0))&lt;=0,0,IF(R8&lt;$D$3,1,0))</f>
        <v>1</v>
      </c>
      <c r="O8" s="48" t="str">
        <f t="shared" ref="O8:O48" ca="1" si="1">IF(MAX(0,VALUE(AC8)-VALUE(AE8)-IF(AND(ISNUMBER(W8),ISNUMBER(X8)),X8,0))&lt;=0,"00/12",TEXT(MIN(11,MAX(0,DATEDIF(Q8,$D$3,"M"))),"00")&amp;"/12")</f>
        <v>11/12</v>
      </c>
      <c r="P8" s="25"/>
      <c r="Q8" s="18">
        <v>45566</v>
      </c>
      <c r="R8" s="51">
        <v>45930</v>
      </c>
      <c r="S8" s="25"/>
      <c r="T8" s="25"/>
      <c r="U8" s="25"/>
      <c r="W8" s="21" t="s">
        <v>73</v>
      </c>
      <c r="X8" s="21" t="s">
        <v>74</v>
      </c>
      <c r="Y8" s="48" t="s">
        <v>74</v>
      </c>
      <c r="Z8" s="25"/>
      <c r="AA8" s="25"/>
      <c r="AB8" s="20" t="s">
        <v>74</v>
      </c>
      <c r="AC8" s="20" t="s">
        <v>88</v>
      </c>
      <c r="AE8" s="48" t="s">
        <v>143</v>
      </c>
      <c r="AF8" s="25"/>
      <c r="AG8" s="20">
        <f t="shared" ref="AG8:AG48" si="2">MAX(0,VALUE(AC8)-VALUE(AE8)-IF(AND(ISNUMBER(W8),ISNUMBER(X8)),X8,0))</f>
        <v>16</v>
      </c>
      <c r="AH8" s="51">
        <v>46280</v>
      </c>
      <c r="AI8" s="25"/>
      <c r="AJ8" s="48" t="s">
        <v>75</v>
      </c>
      <c r="AK8" s="25"/>
      <c r="AL8" s="48" t="s">
        <v>75</v>
      </c>
      <c r="AM8" s="25"/>
    </row>
    <row r="9" spans="1:39" ht="11" customHeight="1" x14ac:dyDescent="0.35">
      <c r="N9" s="22">
        <f t="shared" ca="1" si="0"/>
        <v>0</v>
      </c>
      <c r="O9" s="22" t="str">
        <f t="shared" ca="1" si="1"/>
        <v>07/12</v>
      </c>
      <c r="Q9" s="18">
        <v>45931</v>
      </c>
      <c r="R9" s="51">
        <v>46295</v>
      </c>
      <c r="S9" s="25"/>
      <c r="T9" s="25"/>
      <c r="U9" s="25"/>
      <c r="W9" s="21" t="s">
        <v>73</v>
      </c>
      <c r="X9" s="21" t="s">
        <v>74</v>
      </c>
      <c r="Y9" s="48" t="s">
        <v>74</v>
      </c>
      <c r="Z9" s="25"/>
      <c r="AA9" s="25"/>
      <c r="AB9" s="20" t="s">
        <v>74</v>
      </c>
      <c r="AC9" s="20" t="s">
        <v>144</v>
      </c>
      <c r="AE9" s="48" t="s">
        <v>139</v>
      </c>
      <c r="AF9" s="25"/>
      <c r="AG9" s="20">
        <f t="shared" si="2"/>
        <v>20</v>
      </c>
      <c r="AH9" s="51">
        <v>46631</v>
      </c>
      <c r="AI9" s="25"/>
      <c r="AJ9" s="48" t="s">
        <v>75</v>
      </c>
      <c r="AK9" s="25"/>
      <c r="AL9" s="48" t="s">
        <v>75</v>
      </c>
      <c r="AM9" s="25"/>
    </row>
    <row r="10" spans="1:39" ht="11" customHeight="1" x14ac:dyDescent="0.35">
      <c r="A10" s="17">
        <v>129</v>
      </c>
      <c r="B10" t="s">
        <v>107</v>
      </c>
      <c r="C10" s="41" t="s">
        <v>145</v>
      </c>
      <c r="D10" s="25"/>
      <c r="E10" s="25"/>
      <c r="F10" s="25"/>
      <c r="G10" s="25"/>
      <c r="H10" s="25"/>
      <c r="I10" s="25"/>
      <c r="J10" s="18">
        <v>45691</v>
      </c>
      <c r="K10" s="51">
        <v>46055</v>
      </c>
      <c r="L10" s="25"/>
      <c r="M10" s="25"/>
      <c r="N10" s="19">
        <f t="shared" ca="1" si="0"/>
        <v>1</v>
      </c>
      <c r="O10" s="48" t="str">
        <f t="shared" ca="1" si="1"/>
        <v>11/12</v>
      </c>
      <c r="P10" s="25"/>
      <c r="Q10" s="18">
        <v>45691</v>
      </c>
      <c r="R10" s="51">
        <v>46055</v>
      </c>
      <c r="S10" s="25"/>
      <c r="T10" s="25"/>
      <c r="U10" s="25"/>
      <c r="W10" s="21" t="s">
        <v>73</v>
      </c>
      <c r="X10" s="21" t="s">
        <v>74</v>
      </c>
      <c r="Y10" s="48" t="s">
        <v>74</v>
      </c>
      <c r="Z10" s="25"/>
      <c r="AA10" s="25"/>
      <c r="AB10" s="20" t="s">
        <v>74</v>
      </c>
      <c r="AC10" s="20" t="s">
        <v>88</v>
      </c>
      <c r="AE10" s="48" t="s">
        <v>146</v>
      </c>
      <c r="AF10" s="25"/>
      <c r="AG10" s="20">
        <f t="shared" si="2"/>
        <v>15</v>
      </c>
      <c r="AH10" s="51">
        <v>46406</v>
      </c>
      <c r="AI10" s="25"/>
      <c r="AJ10" s="48" t="s">
        <v>147</v>
      </c>
      <c r="AK10" s="25"/>
      <c r="AL10" s="48" t="s">
        <v>98</v>
      </c>
      <c r="AM10" s="25"/>
    </row>
    <row r="11" spans="1:39" ht="11" customHeight="1" x14ac:dyDescent="0.35">
      <c r="N11" s="22">
        <f t="shared" ca="1" si="0"/>
        <v>0</v>
      </c>
      <c r="O11" s="22" t="str">
        <f t="shared" ca="1" si="1"/>
        <v>03/12</v>
      </c>
      <c r="Q11" s="18">
        <v>46056</v>
      </c>
      <c r="R11" s="51">
        <v>46420</v>
      </c>
      <c r="S11" s="25"/>
      <c r="T11" s="25"/>
      <c r="U11" s="25"/>
      <c r="W11" s="21" t="s">
        <v>73</v>
      </c>
      <c r="X11" s="21" t="s">
        <v>74</v>
      </c>
      <c r="Y11" s="48" t="s">
        <v>74</v>
      </c>
      <c r="Z11" s="25"/>
      <c r="AA11" s="25"/>
      <c r="AB11" s="20" t="s">
        <v>74</v>
      </c>
      <c r="AC11" s="20" t="s">
        <v>148</v>
      </c>
      <c r="AE11" s="48" t="s">
        <v>139</v>
      </c>
      <c r="AF11" s="25"/>
      <c r="AG11" s="20">
        <f t="shared" si="2"/>
        <v>10</v>
      </c>
      <c r="AH11" s="51">
        <v>46756</v>
      </c>
      <c r="AI11" s="25"/>
      <c r="AJ11" s="48" t="s">
        <v>75</v>
      </c>
      <c r="AK11" s="25"/>
      <c r="AL11" s="48" t="s">
        <v>98</v>
      </c>
      <c r="AM11" s="25"/>
    </row>
    <row r="12" spans="1:39" ht="11" customHeight="1" x14ac:dyDescent="0.35">
      <c r="A12" s="17">
        <v>99</v>
      </c>
      <c r="B12" t="s">
        <v>107</v>
      </c>
      <c r="C12" s="41" t="s">
        <v>149</v>
      </c>
      <c r="D12" s="25"/>
      <c r="E12" s="25"/>
      <c r="F12" s="25"/>
      <c r="G12" s="25"/>
      <c r="H12" s="25"/>
      <c r="I12" s="25"/>
      <c r="J12" s="18">
        <v>44970</v>
      </c>
      <c r="K12" s="51">
        <v>46065</v>
      </c>
      <c r="L12" s="25"/>
      <c r="M12" s="25"/>
      <c r="N12" s="19">
        <f t="shared" ca="1" si="0"/>
        <v>1</v>
      </c>
      <c r="O12" s="48" t="str">
        <f t="shared" ca="1" si="1"/>
        <v>11/12</v>
      </c>
      <c r="P12" s="25"/>
      <c r="Q12" s="18">
        <v>45701</v>
      </c>
      <c r="R12" s="51">
        <v>46065</v>
      </c>
      <c r="S12" s="25"/>
      <c r="T12" s="25"/>
      <c r="U12" s="25"/>
      <c r="W12" s="21" t="s">
        <v>73</v>
      </c>
      <c r="X12" s="21" t="s">
        <v>74</v>
      </c>
      <c r="Y12" s="48" t="s">
        <v>74</v>
      </c>
      <c r="Z12" s="25"/>
      <c r="AA12" s="25"/>
      <c r="AB12" s="20" t="s">
        <v>74</v>
      </c>
      <c r="AC12" s="20" t="s">
        <v>88</v>
      </c>
      <c r="AE12" s="48" t="s">
        <v>146</v>
      </c>
      <c r="AF12" s="25"/>
      <c r="AG12" s="20">
        <f t="shared" si="2"/>
        <v>15</v>
      </c>
      <c r="AH12" s="51">
        <v>46416</v>
      </c>
      <c r="AI12" s="25"/>
      <c r="AJ12" s="48" t="s">
        <v>75</v>
      </c>
      <c r="AK12" s="25"/>
      <c r="AL12" s="48" t="s">
        <v>75</v>
      </c>
      <c r="AM12" s="25"/>
    </row>
    <row r="13" spans="1:39" ht="11" customHeight="1" x14ac:dyDescent="0.35">
      <c r="N13" s="22">
        <f t="shared" ca="1" si="0"/>
        <v>0</v>
      </c>
      <c r="O13" s="22" t="str">
        <f t="shared" ca="1" si="1"/>
        <v>03/12</v>
      </c>
      <c r="Q13" s="18">
        <v>46066</v>
      </c>
      <c r="R13" s="51">
        <v>46430</v>
      </c>
      <c r="S13" s="25"/>
      <c r="T13" s="25"/>
      <c r="U13" s="25"/>
      <c r="W13" s="21" t="s">
        <v>73</v>
      </c>
      <c r="X13" s="21" t="s">
        <v>74</v>
      </c>
      <c r="Y13" s="48" t="s">
        <v>74</v>
      </c>
      <c r="Z13" s="25"/>
      <c r="AA13" s="25"/>
      <c r="AB13" s="20" t="s">
        <v>74</v>
      </c>
      <c r="AC13" s="20" t="s">
        <v>150</v>
      </c>
      <c r="AE13" s="48" t="s">
        <v>139</v>
      </c>
      <c r="AF13" s="25"/>
      <c r="AG13" s="20">
        <f t="shared" si="2"/>
        <v>7.5</v>
      </c>
      <c r="AH13" s="51">
        <v>46766</v>
      </c>
      <c r="AI13" s="25"/>
      <c r="AJ13" s="48" t="s">
        <v>75</v>
      </c>
      <c r="AK13" s="25"/>
      <c r="AL13" s="48" t="s">
        <v>75</v>
      </c>
      <c r="AM13" s="25"/>
    </row>
    <row r="14" spans="1:39" ht="11" customHeight="1" x14ac:dyDescent="0.35">
      <c r="A14" s="17">
        <v>92</v>
      </c>
      <c r="B14" t="s">
        <v>78</v>
      </c>
      <c r="C14" s="41" t="s">
        <v>151</v>
      </c>
      <c r="D14" s="25"/>
      <c r="E14" s="25"/>
      <c r="F14" s="25"/>
      <c r="G14" s="25"/>
      <c r="H14" s="25"/>
      <c r="I14" s="25"/>
      <c r="J14" s="18">
        <v>44629</v>
      </c>
      <c r="K14" s="51">
        <v>46089</v>
      </c>
      <c r="L14" s="25"/>
      <c r="M14" s="25"/>
      <c r="N14" s="19">
        <f t="shared" ca="1" si="0"/>
        <v>1</v>
      </c>
      <c r="O14" s="48" t="str">
        <f t="shared" ca="1" si="1"/>
        <v>11/12</v>
      </c>
      <c r="P14" s="25"/>
      <c r="Q14" s="18">
        <v>45725</v>
      </c>
      <c r="R14" s="51">
        <v>46089</v>
      </c>
      <c r="S14" s="25"/>
      <c r="T14" s="25"/>
      <c r="U14" s="25"/>
      <c r="W14" s="21" t="s">
        <v>73</v>
      </c>
      <c r="X14" s="21" t="s">
        <v>74</v>
      </c>
      <c r="Y14" s="48" t="s">
        <v>74</v>
      </c>
      <c r="Z14" s="25"/>
      <c r="AA14" s="25"/>
      <c r="AB14" s="20" t="s">
        <v>74</v>
      </c>
      <c r="AC14" s="20" t="s">
        <v>88</v>
      </c>
      <c r="AE14" s="48" t="s">
        <v>139</v>
      </c>
      <c r="AF14" s="25"/>
      <c r="AG14" s="20">
        <f t="shared" si="2"/>
        <v>30</v>
      </c>
      <c r="AH14" s="51">
        <v>46425</v>
      </c>
      <c r="AI14" s="25"/>
      <c r="AJ14" s="48" t="s">
        <v>75</v>
      </c>
      <c r="AK14" s="25"/>
      <c r="AL14" s="48" t="s">
        <v>98</v>
      </c>
      <c r="AM14" s="25"/>
    </row>
    <row r="15" spans="1:39" ht="11" customHeight="1" x14ac:dyDescent="0.35">
      <c r="N15" s="22">
        <f t="shared" ca="1" si="0"/>
        <v>0</v>
      </c>
      <c r="O15" s="22" t="str">
        <f t="shared" ca="1" si="1"/>
        <v>02/12</v>
      </c>
      <c r="Q15" s="18">
        <v>46090</v>
      </c>
      <c r="R15" s="51">
        <v>46454</v>
      </c>
      <c r="S15" s="25"/>
      <c r="T15" s="25"/>
      <c r="U15" s="25"/>
      <c r="W15" s="21" t="s">
        <v>73</v>
      </c>
      <c r="X15" s="21" t="s">
        <v>74</v>
      </c>
      <c r="Y15" s="48" t="s">
        <v>74</v>
      </c>
      <c r="Z15" s="25"/>
      <c r="AA15" s="25"/>
      <c r="AB15" s="20" t="s">
        <v>74</v>
      </c>
      <c r="AC15" s="20" t="s">
        <v>150</v>
      </c>
      <c r="AE15" s="48" t="s">
        <v>139</v>
      </c>
      <c r="AF15" s="25"/>
      <c r="AG15" s="20">
        <f t="shared" si="2"/>
        <v>7.5</v>
      </c>
      <c r="AH15" s="51">
        <v>46791</v>
      </c>
      <c r="AI15" s="25"/>
      <c r="AJ15" s="48" t="s">
        <v>75</v>
      </c>
      <c r="AK15" s="25"/>
      <c r="AL15" s="48" t="s">
        <v>75</v>
      </c>
      <c r="AM15" s="25"/>
    </row>
    <row r="16" spans="1:39" ht="11" customHeight="1" x14ac:dyDescent="0.35">
      <c r="A16" s="17">
        <v>113</v>
      </c>
      <c r="B16" t="s">
        <v>107</v>
      </c>
      <c r="C16" s="41" t="s">
        <v>152</v>
      </c>
      <c r="D16" s="25"/>
      <c r="E16" s="25"/>
      <c r="F16" s="25"/>
      <c r="G16" s="25"/>
      <c r="H16" s="25"/>
      <c r="I16" s="25"/>
      <c r="J16" s="18">
        <v>45366</v>
      </c>
      <c r="K16" s="51">
        <v>46095</v>
      </c>
      <c r="L16" s="25"/>
      <c r="M16" s="25"/>
      <c r="N16" s="19">
        <f t="shared" ca="1" si="0"/>
        <v>1</v>
      </c>
      <c r="O16" s="48" t="str">
        <f t="shared" ca="1" si="1"/>
        <v>11/12</v>
      </c>
      <c r="P16" s="25"/>
      <c r="Q16" s="18">
        <v>45731</v>
      </c>
      <c r="R16" s="51">
        <v>46095</v>
      </c>
      <c r="S16" s="25"/>
      <c r="T16" s="25"/>
      <c r="U16" s="25"/>
      <c r="W16" s="21" t="s">
        <v>73</v>
      </c>
      <c r="X16" s="21" t="s">
        <v>74</v>
      </c>
      <c r="Y16" s="48" t="s">
        <v>74</v>
      </c>
      <c r="Z16" s="25"/>
      <c r="AA16" s="25"/>
      <c r="AB16" s="20" t="s">
        <v>74</v>
      </c>
      <c r="AC16" s="20" t="s">
        <v>88</v>
      </c>
      <c r="AE16" s="48" t="s">
        <v>139</v>
      </c>
      <c r="AF16" s="25"/>
      <c r="AG16" s="20">
        <f t="shared" si="2"/>
        <v>30</v>
      </c>
      <c r="AH16" s="51">
        <v>46431</v>
      </c>
      <c r="AI16" s="25"/>
      <c r="AJ16" s="48" t="s">
        <v>75</v>
      </c>
      <c r="AK16" s="25"/>
      <c r="AL16" s="48" t="s">
        <v>76</v>
      </c>
      <c r="AM16" s="25"/>
    </row>
    <row r="17" spans="1:39" ht="11" customHeight="1" x14ac:dyDescent="0.35">
      <c r="N17" s="22">
        <f t="shared" ca="1" si="0"/>
        <v>0</v>
      </c>
      <c r="O17" s="22" t="str">
        <f t="shared" ca="1" si="1"/>
        <v>02/12</v>
      </c>
      <c r="Q17" s="18">
        <v>46096</v>
      </c>
      <c r="R17" s="51">
        <v>46460</v>
      </c>
      <c r="S17" s="25"/>
      <c r="T17" s="25"/>
      <c r="U17" s="25"/>
      <c r="W17" s="21" t="s">
        <v>73</v>
      </c>
      <c r="X17" s="21" t="s">
        <v>74</v>
      </c>
      <c r="Y17" s="48" t="s">
        <v>74</v>
      </c>
      <c r="Z17" s="25"/>
      <c r="AA17" s="25"/>
      <c r="AB17" s="20" t="s">
        <v>74</v>
      </c>
      <c r="AC17" s="20" t="s">
        <v>96</v>
      </c>
      <c r="AE17" s="48" t="s">
        <v>139</v>
      </c>
      <c r="AF17" s="25"/>
      <c r="AG17" s="20">
        <f t="shared" si="2"/>
        <v>5</v>
      </c>
      <c r="AH17" s="51">
        <v>46797</v>
      </c>
      <c r="AI17" s="25"/>
      <c r="AJ17" s="48" t="s">
        <v>75</v>
      </c>
      <c r="AK17" s="25"/>
      <c r="AL17" s="48" t="s">
        <v>75</v>
      </c>
      <c r="AM17" s="25"/>
    </row>
    <row r="18" spans="1:39" ht="11" customHeight="1" x14ac:dyDescent="0.35">
      <c r="A18" s="17">
        <v>14</v>
      </c>
      <c r="B18" t="s">
        <v>107</v>
      </c>
      <c r="C18" s="41" t="s">
        <v>153</v>
      </c>
      <c r="D18" s="25"/>
      <c r="E18" s="25"/>
      <c r="F18" s="25"/>
      <c r="G18" s="25"/>
      <c r="H18" s="25"/>
      <c r="I18" s="25"/>
      <c r="J18" s="18">
        <v>42095</v>
      </c>
      <c r="K18" s="51">
        <v>46112</v>
      </c>
      <c r="L18" s="25"/>
      <c r="M18" s="25"/>
      <c r="N18" s="19">
        <f t="shared" ca="1" si="0"/>
        <v>1</v>
      </c>
      <c r="O18" s="48" t="str">
        <f t="shared" ca="1" si="1"/>
        <v>11/12</v>
      </c>
      <c r="P18" s="25"/>
      <c r="Q18" s="18">
        <v>45748</v>
      </c>
      <c r="R18" s="51">
        <v>46112</v>
      </c>
      <c r="S18" s="25"/>
      <c r="T18" s="25"/>
      <c r="U18" s="25"/>
      <c r="W18" s="21" t="s">
        <v>73</v>
      </c>
      <c r="X18" s="21" t="s">
        <v>74</v>
      </c>
      <c r="Y18" s="48" t="s">
        <v>74</v>
      </c>
      <c r="Z18" s="25"/>
      <c r="AA18" s="25"/>
      <c r="AB18" s="20" t="s">
        <v>74</v>
      </c>
      <c r="AC18" s="20" t="s">
        <v>88</v>
      </c>
      <c r="AE18" s="48" t="s">
        <v>139</v>
      </c>
      <c r="AF18" s="25"/>
      <c r="AG18" s="20">
        <f t="shared" si="2"/>
        <v>30</v>
      </c>
      <c r="AH18" s="51">
        <v>46448</v>
      </c>
      <c r="AI18" s="25"/>
      <c r="AJ18" s="48" t="s">
        <v>75</v>
      </c>
      <c r="AK18" s="25"/>
      <c r="AL18" s="48" t="s">
        <v>75</v>
      </c>
      <c r="AM18" s="25"/>
    </row>
    <row r="19" spans="1:39" ht="11" customHeight="1" x14ac:dyDescent="0.35">
      <c r="N19" s="22">
        <f t="shared" ca="1" si="0"/>
        <v>0</v>
      </c>
      <c r="O19" s="22" t="str">
        <f t="shared" ca="1" si="1"/>
        <v>01/12</v>
      </c>
      <c r="Q19" s="18">
        <v>46113</v>
      </c>
      <c r="R19" s="51">
        <v>46477</v>
      </c>
      <c r="S19" s="25"/>
      <c r="T19" s="25"/>
      <c r="U19" s="25"/>
      <c r="W19" s="21" t="s">
        <v>73</v>
      </c>
      <c r="X19" s="21" t="s">
        <v>74</v>
      </c>
      <c r="Y19" s="48" t="s">
        <v>74</v>
      </c>
      <c r="Z19" s="25"/>
      <c r="AA19" s="25"/>
      <c r="AB19" s="20" t="s">
        <v>74</v>
      </c>
      <c r="AC19" s="20" t="s">
        <v>96</v>
      </c>
      <c r="AE19" s="48" t="s">
        <v>139</v>
      </c>
      <c r="AF19" s="25"/>
      <c r="AG19" s="20">
        <f t="shared" si="2"/>
        <v>5</v>
      </c>
      <c r="AH19" s="51">
        <v>46814</v>
      </c>
      <c r="AI19" s="25"/>
      <c r="AJ19" s="48" t="s">
        <v>75</v>
      </c>
      <c r="AK19" s="25"/>
      <c r="AL19" s="48" t="s">
        <v>75</v>
      </c>
      <c r="AM19" s="25"/>
    </row>
    <row r="20" spans="1:39" ht="11" customHeight="1" x14ac:dyDescent="0.35">
      <c r="A20" s="17">
        <v>131</v>
      </c>
      <c r="B20" t="s">
        <v>107</v>
      </c>
      <c r="C20" s="41" t="s">
        <v>154</v>
      </c>
      <c r="D20" s="25"/>
      <c r="E20" s="25"/>
      <c r="F20" s="25"/>
      <c r="G20" s="25"/>
      <c r="H20" s="25"/>
      <c r="I20" s="25"/>
      <c r="J20" s="18">
        <v>45748</v>
      </c>
      <c r="K20" s="51">
        <v>46112</v>
      </c>
      <c r="L20" s="25"/>
      <c r="M20" s="25"/>
      <c r="N20" s="19">
        <f t="shared" ca="1" si="0"/>
        <v>1</v>
      </c>
      <c r="O20" s="48" t="str">
        <f t="shared" ca="1" si="1"/>
        <v>11/12</v>
      </c>
      <c r="P20" s="25"/>
      <c r="Q20" s="18">
        <v>45748</v>
      </c>
      <c r="R20" s="51">
        <v>46112</v>
      </c>
      <c r="S20" s="25"/>
      <c r="T20" s="25"/>
      <c r="U20" s="25"/>
      <c r="W20" s="21" t="s">
        <v>73</v>
      </c>
      <c r="X20" s="21" t="s">
        <v>74</v>
      </c>
      <c r="Y20" s="48" t="s">
        <v>74</v>
      </c>
      <c r="Z20" s="25"/>
      <c r="AA20" s="25"/>
      <c r="AB20" s="20" t="s">
        <v>74</v>
      </c>
      <c r="AC20" s="20" t="s">
        <v>88</v>
      </c>
      <c r="AE20" s="48" t="s">
        <v>146</v>
      </c>
      <c r="AF20" s="25"/>
      <c r="AG20" s="20">
        <f t="shared" si="2"/>
        <v>15</v>
      </c>
      <c r="AH20" s="51">
        <v>46463</v>
      </c>
      <c r="AI20" s="25"/>
      <c r="AJ20" s="48" t="s">
        <v>75</v>
      </c>
      <c r="AK20" s="25"/>
      <c r="AL20" s="48" t="s">
        <v>98</v>
      </c>
      <c r="AM20" s="25"/>
    </row>
    <row r="21" spans="1:39" ht="11" customHeight="1" x14ac:dyDescent="0.35">
      <c r="N21" s="22">
        <f t="shared" ca="1" si="0"/>
        <v>0</v>
      </c>
      <c r="O21" s="22" t="str">
        <f t="shared" ca="1" si="1"/>
        <v>01/12</v>
      </c>
      <c r="Q21" s="18">
        <v>46113</v>
      </c>
      <c r="R21" s="51">
        <v>46477</v>
      </c>
      <c r="S21" s="25"/>
      <c r="T21" s="25"/>
      <c r="U21" s="25"/>
      <c r="W21" s="21" t="s">
        <v>73</v>
      </c>
      <c r="X21" s="21" t="s">
        <v>74</v>
      </c>
      <c r="Y21" s="48" t="s">
        <v>74</v>
      </c>
      <c r="Z21" s="25"/>
      <c r="AA21" s="25"/>
      <c r="AB21" s="20" t="s">
        <v>74</v>
      </c>
      <c r="AC21" s="20" t="s">
        <v>96</v>
      </c>
      <c r="AE21" s="48" t="s">
        <v>139</v>
      </c>
      <c r="AF21" s="25"/>
      <c r="AG21" s="20">
        <f t="shared" si="2"/>
        <v>5</v>
      </c>
      <c r="AH21" s="51">
        <v>46814</v>
      </c>
      <c r="AI21" s="25"/>
      <c r="AJ21" s="48" t="s">
        <v>75</v>
      </c>
      <c r="AK21" s="25"/>
      <c r="AL21" s="48" t="s">
        <v>75</v>
      </c>
      <c r="AM21" s="25"/>
    </row>
    <row r="22" spans="1:39" ht="11" customHeight="1" x14ac:dyDescent="0.35">
      <c r="A22" s="17">
        <v>132</v>
      </c>
      <c r="B22" t="s">
        <v>107</v>
      </c>
      <c r="C22" s="41" t="s">
        <v>155</v>
      </c>
      <c r="D22" s="25"/>
      <c r="E22" s="25"/>
      <c r="F22" s="25"/>
      <c r="G22" s="25"/>
      <c r="H22" s="25"/>
      <c r="I22" s="25"/>
      <c r="J22" s="18">
        <v>45775</v>
      </c>
      <c r="K22" s="51">
        <v>46139</v>
      </c>
      <c r="L22" s="25"/>
      <c r="M22" s="25"/>
      <c r="N22" s="19">
        <f t="shared" ca="1" si="0"/>
        <v>1</v>
      </c>
      <c r="O22" s="48" t="str">
        <f t="shared" ca="1" si="1"/>
        <v>11/12</v>
      </c>
      <c r="P22" s="25"/>
      <c r="Q22" s="18">
        <v>45775</v>
      </c>
      <c r="R22" s="51">
        <v>46139</v>
      </c>
      <c r="S22" s="25"/>
      <c r="T22" s="25"/>
      <c r="U22" s="25"/>
      <c r="W22" s="21" t="s">
        <v>73</v>
      </c>
      <c r="X22" s="21" t="s">
        <v>74</v>
      </c>
      <c r="Y22" s="48" t="s">
        <v>74</v>
      </c>
      <c r="Z22" s="25"/>
      <c r="AA22" s="25"/>
      <c r="AB22" s="20" t="s">
        <v>74</v>
      </c>
      <c r="AC22" s="20" t="s">
        <v>88</v>
      </c>
      <c r="AE22" s="48" t="s">
        <v>139</v>
      </c>
      <c r="AF22" s="25"/>
      <c r="AG22" s="20">
        <f t="shared" si="2"/>
        <v>30</v>
      </c>
      <c r="AH22" s="51">
        <v>46475</v>
      </c>
      <c r="AI22" s="25"/>
      <c r="AJ22" s="48" t="s">
        <v>75</v>
      </c>
      <c r="AK22" s="25"/>
      <c r="AL22" s="48" t="s">
        <v>75</v>
      </c>
      <c r="AM22" s="25"/>
    </row>
    <row r="23" spans="1:39" ht="11" customHeight="1" x14ac:dyDescent="0.35">
      <c r="N23" s="22">
        <f t="shared" ca="1" si="0"/>
        <v>0</v>
      </c>
      <c r="O23" s="22" t="str">
        <f t="shared" ca="1" si="1"/>
        <v>00/12</v>
      </c>
      <c r="Q23" s="18">
        <v>46140</v>
      </c>
      <c r="R23" s="51">
        <v>46504</v>
      </c>
      <c r="S23" s="25"/>
      <c r="T23" s="25"/>
      <c r="U23" s="25"/>
      <c r="W23" s="21" t="s">
        <v>73</v>
      </c>
      <c r="X23" s="21" t="s">
        <v>74</v>
      </c>
      <c r="Y23" s="48" t="s">
        <v>74</v>
      </c>
      <c r="Z23" s="25"/>
      <c r="AA23" s="25"/>
      <c r="AB23" s="20" t="s">
        <v>74</v>
      </c>
      <c r="AC23" s="20" t="s">
        <v>156</v>
      </c>
      <c r="AE23" s="48" t="s">
        <v>139</v>
      </c>
      <c r="AF23" s="25"/>
      <c r="AG23" s="20">
        <f t="shared" si="2"/>
        <v>2.5</v>
      </c>
      <c r="AH23" s="51">
        <v>46841</v>
      </c>
      <c r="AI23" s="25"/>
      <c r="AJ23" s="48" t="s">
        <v>75</v>
      </c>
      <c r="AK23" s="25"/>
      <c r="AL23" s="48" t="s">
        <v>75</v>
      </c>
      <c r="AM23" s="25"/>
    </row>
    <row r="24" spans="1:39" ht="11" customHeight="1" x14ac:dyDescent="0.35">
      <c r="A24" s="17">
        <v>133</v>
      </c>
      <c r="B24" t="s">
        <v>107</v>
      </c>
      <c r="C24" s="41" t="s">
        <v>157</v>
      </c>
      <c r="D24" s="25"/>
      <c r="E24" s="25"/>
      <c r="F24" s="25"/>
      <c r="G24" s="25"/>
      <c r="H24" s="25"/>
      <c r="I24" s="25"/>
      <c r="J24" s="18">
        <v>45782</v>
      </c>
      <c r="K24" s="51">
        <v>46146</v>
      </c>
      <c r="L24" s="25"/>
      <c r="M24" s="25"/>
      <c r="N24" s="19">
        <f t="shared" ca="1" si="0"/>
        <v>1</v>
      </c>
      <c r="O24" s="48" t="str">
        <f t="shared" ca="1" si="1"/>
        <v>11/12</v>
      </c>
      <c r="P24" s="25"/>
      <c r="Q24" s="18">
        <v>45782</v>
      </c>
      <c r="R24" s="51">
        <v>46146</v>
      </c>
      <c r="S24" s="25"/>
      <c r="T24" s="25"/>
      <c r="U24" s="25"/>
      <c r="W24" s="21" t="s">
        <v>73</v>
      </c>
      <c r="X24" s="21" t="s">
        <v>74</v>
      </c>
      <c r="Y24" s="48" t="s">
        <v>74</v>
      </c>
      <c r="Z24" s="25"/>
      <c r="AA24" s="25"/>
      <c r="AB24" s="20" t="s">
        <v>74</v>
      </c>
      <c r="AC24" s="20" t="s">
        <v>88</v>
      </c>
      <c r="AE24" s="48" t="s">
        <v>139</v>
      </c>
      <c r="AF24" s="25"/>
      <c r="AG24" s="20">
        <f t="shared" si="2"/>
        <v>30</v>
      </c>
      <c r="AH24" s="51">
        <v>46482</v>
      </c>
      <c r="AI24" s="25"/>
      <c r="AJ24" s="48" t="s">
        <v>75</v>
      </c>
      <c r="AK24" s="25"/>
      <c r="AL24" s="48" t="s">
        <v>130</v>
      </c>
      <c r="AM24" s="25"/>
    </row>
    <row r="25" spans="1:39" ht="11" customHeight="1" x14ac:dyDescent="0.35">
      <c r="N25" s="22">
        <f t="shared" ca="1" si="0"/>
        <v>0</v>
      </c>
      <c r="O25" s="22" t="str">
        <f t="shared" ca="1" si="1"/>
        <v>00/12</v>
      </c>
      <c r="Q25" s="18">
        <v>46147</v>
      </c>
      <c r="R25" s="51">
        <v>46511</v>
      </c>
      <c r="S25" s="25"/>
      <c r="T25" s="25"/>
      <c r="U25" s="25"/>
      <c r="W25" s="21" t="s">
        <v>73</v>
      </c>
      <c r="X25" s="21" t="s">
        <v>74</v>
      </c>
      <c r="Y25" s="48" t="s">
        <v>74</v>
      </c>
      <c r="Z25" s="25"/>
      <c r="AA25" s="25"/>
      <c r="AB25" s="20" t="s">
        <v>74</v>
      </c>
      <c r="AC25" s="20" t="s">
        <v>156</v>
      </c>
      <c r="AE25" s="48" t="s">
        <v>139</v>
      </c>
      <c r="AF25" s="25"/>
      <c r="AG25" s="20">
        <f t="shared" si="2"/>
        <v>2.5</v>
      </c>
      <c r="AH25" s="51">
        <v>46848</v>
      </c>
      <c r="AI25" s="25"/>
      <c r="AJ25" s="48" t="s">
        <v>75</v>
      </c>
      <c r="AK25" s="25"/>
      <c r="AL25" s="48" t="s">
        <v>75</v>
      </c>
      <c r="AM25" s="25"/>
    </row>
    <row r="26" spans="1:39" ht="11" customHeight="1" x14ac:dyDescent="0.35">
      <c r="A26" s="17">
        <v>135</v>
      </c>
      <c r="B26" t="s">
        <v>107</v>
      </c>
      <c r="C26" s="41" t="s">
        <v>158</v>
      </c>
      <c r="D26" s="25"/>
      <c r="E26" s="25"/>
      <c r="F26" s="25"/>
      <c r="G26" s="25"/>
      <c r="H26" s="25"/>
      <c r="I26" s="25"/>
      <c r="J26" s="18">
        <v>45793</v>
      </c>
      <c r="K26" s="51">
        <v>46157</v>
      </c>
      <c r="L26" s="25"/>
      <c r="M26" s="25"/>
      <c r="N26" s="19">
        <f t="shared" ca="1" si="0"/>
        <v>1</v>
      </c>
      <c r="O26" s="48" t="str">
        <f t="shared" ca="1" si="1"/>
        <v>11/12</v>
      </c>
      <c r="P26" s="25"/>
      <c r="Q26" s="18">
        <v>45793</v>
      </c>
      <c r="R26" s="51">
        <v>46157</v>
      </c>
      <c r="S26" s="25"/>
      <c r="T26" s="25"/>
      <c r="U26" s="25"/>
      <c r="W26" s="21" t="s">
        <v>73</v>
      </c>
      <c r="X26" s="21" t="s">
        <v>74</v>
      </c>
      <c r="Y26" s="48" t="s">
        <v>74</v>
      </c>
      <c r="Z26" s="25"/>
      <c r="AA26" s="25"/>
      <c r="AB26" s="20" t="s">
        <v>74</v>
      </c>
      <c r="AC26" s="20" t="s">
        <v>88</v>
      </c>
      <c r="AE26" s="48" t="s">
        <v>139</v>
      </c>
      <c r="AF26" s="25"/>
      <c r="AG26" s="20">
        <f t="shared" si="2"/>
        <v>30</v>
      </c>
      <c r="AH26" s="51">
        <v>46493</v>
      </c>
      <c r="AI26" s="25"/>
      <c r="AJ26" s="48" t="s">
        <v>75</v>
      </c>
      <c r="AK26" s="25"/>
      <c r="AL26" s="48" t="s">
        <v>75</v>
      </c>
      <c r="AM26" s="25"/>
    </row>
    <row r="27" spans="1:39" ht="11" customHeight="1" x14ac:dyDescent="0.35">
      <c r="N27" s="22">
        <f t="shared" si="0"/>
        <v>0</v>
      </c>
      <c r="O27" s="22" t="str">
        <f t="shared" si="1"/>
        <v>00/12</v>
      </c>
      <c r="Q27" s="18">
        <v>46158</v>
      </c>
      <c r="R27" s="51">
        <v>46522</v>
      </c>
      <c r="S27" s="25"/>
      <c r="T27" s="25"/>
      <c r="U27" s="25"/>
      <c r="W27" s="21" t="s">
        <v>73</v>
      </c>
      <c r="X27" s="21" t="s">
        <v>74</v>
      </c>
      <c r="Y27" s="48" t="s">
        <v>74</v>
      </c>
      <c r="Z27" s="25"/>
      <c r="AA27" s="25"/>
      <c r="AB27" s="20" t="s">
        <v>74</v>
      </c>
      <c r="AC27" s="20" t="s">
        <v>139</v>
      </c>
      <c r="AE27" s="48" t="s">
        <v>139</v>
      </c>
      <c r="AF27" s="25"/>
      <c r="AG27" s="20">
        <f t="shared" si="2"/>
        <v>0</v>
      </c>
      <c r="AH27" s="51">
        <v>46859</v>
      </c>
      <c r="AI27" s="25"/>
      <c r="AJ27" s="48" t="s">
        <v>75</v>
      </c>
      <c r="AK27" s="25"/>
      <c r="AL27" s="48" t="s">
        <v>75</v>
      </c>
      <c r="AM27" s="25"/>
    </row>
    <row r="28" spans="1:39" ht="11" customHeight="1" x14ac:dyDescent="0.35">
      <c r="A28" s="17">
        <v>103</v>
      </c>
      <c r="B28" t="s">
        <v>107</v>
      </c>
      <c r="C28" s="41" t="s">
        <v>159</v>
      </c>
      <c r="D28" s="25"/>
      <c r="E28" s="25"/>
      <c r="F28" s="25"/>
      <c r="G28" s="25"/>
      <c r="H28" s="25"/>
      <c r="I28" s="25"/>
      <c r="J28" s="18">
        <v>45097</v>
      </c>
      <c r="K28" s="51">
        <v>46192</v>
      </c>
      <c r="L28" s="25"/>
      <c r="M28" s="25"/>
      <c r="N28" s="19">
        <f t="shared" ca="1" si="0"/>
        <v>0</v>
      </c>
      <c r="O28" s="48" t="str">
        <f t="shared" ca="1" si="1"/>
        <v>11/12</v>
      </c>
      <c r="P28" s="25"/>
      <c r="Q28" s="18">
        <v>45828</v>
      </c>
      <c r="R28" s="51">
        <v>46192</v>
      </c>
      <c r="S28" s="25"/>
      <c r="T28" s="25"/>
      <c r="U28" s="25"/>
      <c r="W28" s="21" t="s">
        <v>73</v>
      </c>
      <c r="X28" s="21" t="s">
        <v>74</v>
      </c>
      <c r="Y28" s="48" t="s">
        <v>74</v>
      </c>
      <c r="Z28" s="25"/>
      <c r="AA28" s="25"/>
      <c r="AB28" s="20" t="s">
        <v>74</v>
      </c>
      <c r="AC28" s="20" t="s">
        <v>160</v>
      </c>
      <c r="AE28" s="48" t="s">
        <v>139</v>
      </c>
      <c r="AF28" s="25"/>
      <c r="AG28" s="20">
        <f t="shared" si="2"/>
        <v>27.5</v>
      </c>
      <c r="AH28" s="51">
        <v>46528</v>
      </c>
      <c r="AI28" s="25"/>
      <c r="AJ28" s="48" t="s">
        <v>75</v>
      </c>
      <c r="AK28" s="25"/>
      <c r="AL28" s="48" t="s">
        <v>75</v>
      </c>
      <c r="AM28" s="25"/>
    </row>
    <row r="29" spans="1:39" ht="11" customHeight="1" x14ac:dyDescent="0.35">
      <c r="A29" s="17">
        <v>120</v>
      </c>
      <c r="B29" t="s">
        <v>107</v>
      </c>
      <c r="C29" s="41" t="s">
        <v>161</v>
      </c>
      <c r="D29" s="25"/>
      <c r="E29" s="25"/>
      <c r="F29" s="25"/>
      <c r="G29" s="25"/>
      <c r="H29" s="25"/>
      <c r="I29" s="25"/>
      <c r="J29" s="18">
        <v>45476</v>
      </c>
      <c r="K29" s="51">
        <v>46205</v>
      </c>
      <c r="L29" s="25"/>
      <c r="M29" s="25"/>
      <c r="N29" s="19">
        <f t="shared" ca="1" si="0"/>
        <v>0</v>
      </c>
      <c r="O29" s="48" t="str">
        <f t="shared" ca="1" si="1"/>
        <v>10/12</v>
      </c>
      <c r="P29" s="25"/>
      <c r="Q29" s="18">
        <v>45841</v>
      </c>
      <c r="R29" s="51">
        <v>46205</v>
      </c>
      <c r="S29" s="25"/>
      <c r="T29" s="25"/>
      <c r="U29" s="25"/>
      <c r="W29" s="21" t="s">
        <v>73</v>
      </c>
      <c r="X29" s="21" t="s">
        <v>74</v>
      </c>
      <c r="Y29" s="48" t="s">
        <v>74</v>
      </c>
      <c r="Z29" s="25"/>
      <c r="AA29" s="25"/>
      <c r="AB29" s="20" t="s">
        <v>74</v>
      </c>
      <c r="AC29" s="20" t="s">
        <v>160</v>
      </c>
      <c r="AE29" s="48" t="s">
        <v>139</v>
      </c>
      <c r="AF29" s="25"/>
      <c r="AG29" s="20">
        <f t="shared" si="2"/>
        <v>27.5</v>
      </c>
      <c r="AH29" s="51">
        <v>46541</v>
      </c>
      <c r="AI29" s="25"/>
      <c r="AJ29" s="48" t="s">
        <v>75</v>
      </c>
      <c r="AK29" s="25"/>
      <c r="AL29" s="48" t="s">
        <v>75</v>
      </c>
      <c r="AM29" s="25"/>
    </row>
    <row r="30" spans="1:39" ht="11" customHeight="1" x14ac:dyDescent="0.35">
      <c r="A30" s="17">
        <v>121</v>
      </c>
      <c r="B30" t="s">
        <v>107</v>
      </c>
      <c r="C30" s="41" t="s">
        <v>162</v>
      </c>
      <c r="D30" s="25"/>
      <c r="E30" s="25"/>
      <c r="F30" s="25"/>
      <c r="G30" s="25"/>
      <c r="H30" s="25"/>
      <c r="I30" s="25"/>
      <c r="J30" s="18">
        <v>45481</v>
      </c>
      <c r="K30" s="51">
        <v>46210</v>
      </c>
      <c r="L30" s="25"/>
      <c r="M30" s="25"/>
      <c r="N30" s="19">
        <f t="shared" ca="1" si="0"/>
        <v>0</v>
      </c>
      <c r="O30" s="48" t="str">
        <f t="shared" ca="1" si="1"/>
        <v>10/12</v>
      </c>
      <c r="P30" s="25"/>
      <c r="Q30" s="18">
        <v>45846</v>
      </c>
      <c r="R30" s="51">
        <v>46210</v>
      </c>
      <c r="S30" s="25"/>
      <c r="T30" s="25"/>
      <c r="U30" s="25"/>
      <c r="W30" s="21" t="s">
        <v>73</v>
      </c>
      <c r="X30" s="21" t="s">
        <v>74</v>
      </c>
      <c r="Y30" s="48" t="s">
        <v>74</v>
      </c>
      <c r="Z30" s="25"/>
      <c r="AA30" s="25"/>
      <c r="AB30" s="20" t="s">
        <v>74</v>
      </c>
      <c r="AC30" s="20" t="s">
        <v>160</v>
      </c>
      <c r="AE30" s="48" t="s">
        <v>139</v>
      </c>
      <c r="AF30" s="25"/>
      <c r="AG30" s="20">
        <f t="shared" si="2"/>
        <v>27.5</v>
      </c>
      <c r="AH30" s="51">
        <v>46546</v>
      </c>
      <c r="AI30" s="25"/>
      <c r="AJ30" s="48" t="s">
        <v>75</v>
      </c>
      <c r="AK30" s="25"/>
      <c r="AL30" s="48" t="s">
        <v>130</v>
      </c>
      <c r="AM30" s="25"/>
    </row>
    <row r="31" spans="1:39" ht="11" customHeight="1" x14ac:dyDescent="0.35">
      <c r="A31" s="17">
        <v>83</v>
      </c>
      <c r="B31" t="s">
        <v>107</v>
      </c>
      <c r="C31" s="41" t="s">
        <v>163</v>
      </c>
      <c r="D31" s="25"/>
      <c r="E31" s="25"/>
      <c r="F31" s="25"/>
      <c r="G31" s="25"/>
      <c r="H31" s="25"/>
      <c r="I31" s="25"/>
      <c r="J31" s="18">
        <v>44390</v>
      </c>
      <c r="K31" s="51">
        <v>46215</v>
      </c>
      <c r="L31" s="25"/>
      <c r="M31" s="25"/>
      <c r="N31" s="19">
        <f t="shared" ca="1" si="0"/>
        <v>0</v>
      </c>
      <c r="O31" s="48" t="str">
        <f t="shared" ca="1" si="1"/>
        <v>10/12</v>
      </c>
      <c r="P31" s="25"/>
      <c r="Q31" s="18">
        <v>45851</v>
      </c>
      <c r="R31" s="51">
        <v>46215</v>
      </c>
      <c r="S31" s="25"/>
      <c r="T31" s="25"/>
      <c r="U31" s="25"/>
      <c r="W31" s="21" t="s">
        <v>73</v>
      </c>
      <c r="X31" s="21" t="s">
        <v>74</v>
      </c>
      <c r="Y31" s="48" t="s">
        <v>74</v>
      </c>
      <c r="Z31" s="25"/>
      <c r="AA31" s="25"/>
      <c r="AB31" s="20" t="s">
        <v>74</v>
      </c>
      <c r="AC31" s="20" t="s">
        <v>164</v>
      </c>
      <c r="AE31" s="48" t="s">
        <v>139</v>
      </c>
      <c r="AF31" s="25"/>
      <c r="AG31" s="20">
        <f t="shared" si="2"/>
        <v>25</v>
      </c>
      <c r="AH31" s="51">
        <v>46551</v>
      </c>
      <c r="AI31" s="25"/>
      <c r="AJ31" s="48" t="s">
        <v>75</v>
      </c>
      <c r="AK31" s="25"/>
      <c r="AL31" s="48" t="s">
        <v>98</v>
      </c>
      <c r="AM31" s="25"/>
    </row>
    <row r="32" spans="1:39" ht="11" customHeight="1" x14ac:dyDescent="0.35">
      <c r="A32" s="17">
        <v>18</v>
      </c>
      <c r="B32" t="s">
        <v>107</v>
      </c>
      <c r="C32" s="41" t="s">
        <v>165</v>
      </c>
      <c r="D32" s="25"/>
      <c r="E32" s="25"/>
      <c r="F32" s="25"/>
      <c r="G32" s="25"/>
      <c r="H32" s="25"/>
      <c r="I32" s="25"/>
      <c r="J32" s="18">
        <v>41107</v>
      </c>
      <c r="K32" s="51">
        <v>46219</v>
      </c>
      <c r="L32" s="25"/>
      <c r="M32" s="25"/>
      <c r="N32" s="19">
        <f t="shared" ca="1" si="0"/>
        <v>0</v>
      </c>
      <c r="O32" s="48" t="str">
        <f t="shared" ca="1" si="1"/>
        <v>10/12</v>
      </c>
      <c r="P32" s="25"/>
      <c r="Q32" s="18">
        <v>45855</v>
      </c>
      <c r="R32" s="51">
        <v>46219</v>
      </c>
      <c r="S32" s="25"/>
      <c r="T32" s="25"/>
      <c r="U32" s="25"/>
      <c r="W32" s="21" t="s">
        <v>73</v>
      </c>
      <c r="X32" s="21" t="s">
        <v>74</v>
      </c>
      <c r="Y32" s="48" t="s">
        <v>74</v>
      </c>
      <c r="Z32" s="25"/>
      <c r="AA32" s="25"/>
      <c r="AB32" s="20" t="s">
        <v>74</v>
      </c>
      <c r="AC32" s="20" t="s">
        <v>164</v>
      </c>
      <c r="AE32" s="48" t="s">
        <v>139</v>
      </c>
      <c r="AF32" s="25"/>
      <c r="AG32" s="20">
        <f t="shared" si="2"/>
        <v>25</v>
      </c>
      <c r="AH32" s="51">
        <v>46555</v>
      </c>
      <c r="AI32" s="25"/>
      <c r="AJ32" s="48" t="s">
        <v>75</v>
      </c>
      <c r="AK32" s="25"/>
      <c r="AL32" s="48" t="s">
        <v>75</v>
      </c>
      <c r="AM32" s="25"/>
    </row>
    <row r="33" spans="1:39" ht="11" customHeight="1" x14ac:dyDescent="0.35">
      <c r="A33" s="17">
        <v>67</v>
      </c>
      <c r="B33" t="s">
        <v>107</v>
      </c>
      <c r="C33" s="41" t="s">
        <v>166</v>
      </c>
      <c r="D33" s="25"/>
      <c r="E33" s="25"/>
      <c r="F33" s="25"/>
      <c r="G33" s="25"/>
      <c r="H33" s="25"/>
      <c r="I33" s="25"/>
      <c r="J33" s="18">
        <v>44029</v>
      </c>
      <c r="K33" s="51">
        <v>46219</v>
      </c>
      <c r="L33" s="25"/>
      <c r="M33" s="25"/>
      <c r="N33" s="19">
        <f t="shared" ca="1" si="0"/>
        <v>0</v>
      </c>
      <c r="O33" s="48" t="str">
        <f t="shared" ca="1" si="1"/>
        <v>10/12</v>
      </c>
      <c r="P33" s="25"/>
      <c r="Q33" s="18">
        <v>45855</v>
      </c>
      <c r="R33" s="51">
        <v>46219</v>
      </c>
      <c r="S33" s="25"/>
      <c r="T33" s="25"/>
      <c r="U33" s="25"/>
      <c r="W33" s="21" t="s">
        <v>73</v>
      </c>
      <c r="X33" s="21" t="s">
        <v>74</v>
      </c>
      <c r="Y33" s="48" t="s">
        <v>74</v>
      </c>
      <c r="Z33" s="25"/>
      <c r="AA33" s="25"/>
      <c r="AB33" s="20" t="s">
        <v>74</v>
      </c>
      <c r="AC33" s="20" t="s">
        <v>164</v>
      </c>
      <c r="AE33" s="48" t="s">
        <v>139</v>
      </c>
      <c r="AF33" s="25"/>
      <c r="AG33" s="20">
        <f t="shared" si="2"/>
        <v>25</v>
      </c>
      <c r="AH33" s="51">
        <v>46555</v>
      </c>
      <c r="AI33" s="25"/>
      <c r="AJ33" s="48" t="s">
        <v>75</v>
      </c>
      <c r="AK33" s="25"/>
      <c r="AL33" s="48" t="s">
        <v>98</v>
      </c>
      <c r="AM33" s="25"/>
    </row>
    <row r="34" spans="1:39" ht="11" customHeight="1" x14ac:dyDescent="0.35">
      <c r="A34" s="17">
        <v>122</v>
      </c>
      <c r="B34" t="s">
        <v>107</v>
      </c>
      <c r="C34" s="41" t="s">
        <v>167</v>
      </c>
      <c r="D34" s="25"/>
      <c r="E34" s="25"/>
      <c r="F34" s="25"/>
      <c r="G34" s="25"/>
      <c r="H34" s="25"/>
      <c r="I34" s="25"/>
      <c r="J34" s="18">
        <v>45492</v>
      </c>
      <c r="K34" s="51">
        <v>46221</v>
      </c>
      <c r="L34" s="25"/>
      <c r="M34" s="25"/>
      <c r="N34" s="19">
        <f t="shared" ca="1" si="0"/>
        <v>0</v>
      </c>
      <c r="O34" s="48" t="str">
        <f t="shared" ca="1" si="1"/>
        <v>10/12</v>
      </c>
      <c r="P34" s="25"/>
      <c r="Q34" s="18">
        <v>45857</v>
      </c>
      <c r="R34" s="51">
        <v>46221</v>
      </c>
      <c r="S34" s="25"/>
      <c r="T34" s="25"/>
      <c r="U34" s="25"/>
      <c r="W34" s="21" t="s">
        <v>73</v>
      </c>
      <c r="X34" s="21" t="s">
        <v>74</v>
      </c>
      <c r="Y34" s="48" t="s">
        <v>74</v>
      </c>
      <c r="Z34" s="25"/>
      <c r="AA34" s="25"/>
      <c r="AB34" s="20" t="s">
        <v>74</v>
      </c>
      <c r="AC34" s="20" t="s">
        <v>164</v>
      </c>
      <c r="AE34" s="48" t="s">
        <v>139</v>
      </c>
      <c r="AF34" s="25"/>
      <c r="AG34" s="20">
        <f t="shared" si="2"/>
        <v>25</v>
      </c>
      <c r="AH34" s="51">
        <v>46557</v>
      </c>
      <c r="AI34" s="25"/>
      <c r="AJ34" s="48" t="s">
        <v>75</v>
      </c>
      <c r="AK34" s="25"/>
      <c r="AL34" s="48" t="s">
        <v>75</v>
      </c>
      <c r="AM34" s="25"/>
    </row>
    <row r="35" spans="1:39" ht="11" customHeight="1" x14ac:dyDescent="0.35">
      <c r="A35" s="17">
        <v>106</v>
      </c>
      <c r="B35" t="s">
        <v>107</v>
      </c>
      <c r="C35" s="41" t="s">
        <v>168</v>
      </c>
      <c r="D35" s="25"/>
      <c r="E35" s="25"/>
      <c r="F35" s="25"/>
      <c r="G35" s="25"/>
      <c r="H35" s="25"/>
      <c r="I35" s="25"/>
      <c r="J35" s="18">
        <v>45147</v>
      </c>
      <c r="K35" s="51">
        <v>46242</v>
      </c>
      <c r="L35" s="25"/>
      <c r="M35" s="25"/>
      <c r="N35" s="19">
        <f t="shared" ca="1" si="0"/>
        <v>0</v>
      </c>
      <c r="O35" s="48" t="str">
        <f t="shared" ca="1" si="1"/>
        <v>09/12</v>
      </c>
      <c r="P35" s="25"/>
      <c r="Q35" s="18">
        <v>45878</v>
      </c>
      <c r="R35" s="51">
        <v>46242</v>
      </c>
      <c r="S35" s="25"/>
      <c r="T35" s="25"/>
      <c r="U35" s="25"/>
      <c r="W35" s="21" t="s">
        <v>73</v>
      </c>
      <c r="X35" s="21" t="s">
        <v>74</v>
      </c>
      <c r="Y35" s="48" t="s">
        <v>74</v>
      </c>
      <c r="Z35" s="25"/>
      <c r="AA35" s="25"/>
      <c r="AB35" s="20" t="s">
        <v>74</v>
      </c>
      <c r="AC35" s="20" t="s">
        <v>164</v>
      </c>
      <c r="AE35" s="48" t="s">
        <v>139</v>
      </c>
      <c r="AF35" s="25"/>
      <c r="AG35" s="20">
        <f t="shared" si="2"/>
        <v>25</v>
      </c>
      <c r="AH35" s="51">
        <v>46578</v>
      </c>
      <c r="AI35" s="25"/>
      <c r="AJ35" s="48" t="s">
        <v>75</v>
      </c>
      <c r="AK35" s="25"/>
      <c r="AL35" s="48" t="s">
        <v>75</v>
      </c>
      <c r="AM35" s="25"/>
    </row>
    <row r="36" spans="1:39" ht="11" customHeight="1" x14ac:dyDescent="0.35">
      <c r="A36" s="17">
        <v>123</v>
      </c>
      <c r="B36" t="s">
        <v>107</v>
      </c>
      <c r="C36" s="41" t="s">
        <v>169</v>
      </c>
      <c r="D36" s="25"/>
      <c r="E36" s="25"/>
      <c r="F36" s="25"/>
      <c r="G36" s="25"/>
      <c r="H36" s="25"/>
      <c r="I36" s="25"/>
      <c r="J36" s="18">
        <v>45530</v>
      </c>
      <c r="K36" s="51">
        <v>46259</v>
      </c>
      <c r="L36" s="25"/>
      <c r="M36" s="25"/>
      <c r="N36" s="19">
        <f t="shared" ca="1" si="0"/>
        <v>0</v>
      </c>
      <c r="O36" s="48" t="str">
        <f t="shared" ca="1" si="1"/>
        <v>09/12</v>
      </c>
      <c r="P36" s="25"/>
      <c r="Q36" s="18">
        <v>45895</v>
      </c>
      <c r="R36" s="51">
        <v>46259</v>
      </c>
      <c r="S36" s="25"/>
      <c r="T36" s="25"/>
      <c r="U36" s="25"/>
      <c r="W36" s="21" t="s">
        <v>73</v>
      </c>
      <c r="X36" s="21" t="s">
        <v>74</v>
      </c>
      <c r="Y36" s="48" t="s">
        <v>74</v>
      </c>
      <c r="Z36" s="25"/>
      <c r="AA36" s="25"/>
      <c r="AB36" s="20" t="s">
        <v>74</v>
      </c>
      <c r="AC36" s="20" t="s">
        <v>170</v>
      </c>
      <c r="AE36" s="48" t="s">
        <v>139</v>
      </c>
      <c r="AF36" s="25"/>
      <c r="AG36" s="20">
        <f t="shared" si="2"/>
        <v>22.5</v>
      </c>
      <c r="AH36" s="51">
        <v>46595</v>
      </c>
      <c r="AI36" s="25"/>
      <c r="AJ36" s="48" t="s">
        <v>75</v>
      </c>
      <c r="AK36" s="25"/>
      <c r="AL36" s="48" t="s">
        <v>75</v>
      </c>
      <c r="AM36" s="25"/>
    </row>
    <row r="37" spans="1:39" ht="11" customHeight="1" x14ac:dyDescent="0.35">
      <c r="A37" s="17">
        <v>108</v>
      </c>
      <c r="B37" t="s">
        <v>107</v>
      </c>
      <c r="C37" s="41" t="s">
        <v>171</v>
      </c>
      <c r="D37" s="25"/>
      <c r="E37" s="25"/>
      <c r="F37" s="25"/>
      <c r="G37" s="25"/>
      <c r="H37" s="25"/>
      <c r="I37" s="25"/>
      <c r="J37" s="18">
        <v>45187</v>
      </c>
      <c r="K37" s="51">
        <v>46282</v>
      </c>
      <c r="L37" s="25"/>
      <c r="M37" s="25"/>
      <c r="N37" s="19">
        <f t="shared" ca="1" si="0"/>
        <v>0</v>
      </c>
      <c r="O37" s="48" t="str">
        <f t="shared" ca="1" si="1"/>
        <v>08/12</v>
      </c>
      <c r="P37" s="25"/>
      <c r="Q37" s="18">
        <v>45918</v>
      </c>
      <c r="R37" s="51">
        <v>46282</v>
      </c>
      <c r="S37" s="25"/>
      <c r="T37" s="25"/>
      <c r="U37" s="25"/>
      <c r="W37" s="21" t="s">
        <v>73</v>
      </c>
      <c r="X37" s="21" t="s">
        <v>74</v>
      </c>
      <c r="Y37" s="48" t="s">
        <v>74</v>
      </c>
      <c r="Z37" s="25"/>
      <c r="AA37" s="25"/>
      <c r="AB37" s="20" t="s">
        <v>74</v>
      </c>
      <c r="AC37" s="20" t="s">
        <v>144</v>
      </c>
      <c r="AE37" s="48" t="s">
        <v>139</v>
      </c>
      <c r="AF37" s="25"/>
      <c r="AG37" s="20">
        <f t="shared" si="2"/>
        <v>20</v>
      </c>
      <c r="AH37" s="51">
        <v>46618</v>
      </c>
      <c r="AI37" s="25"/>
      <c r="AJ37" s="48" t="s">
        <v>75</v>
      </c>
      <c r="AK37" s="25"/>
      <c r="AL37" s="48" t="s">
        <v>75</v>
      </c>
      <c r="AM37" s="25"/>
    </row>
    <row r="38" spans="1:39" ht="11" customHeight="1" x14ac:dyDescent="0.35">
      <c r="A38" s="17">
        <v>138</v>
      </c>
      <c r="B38" t="s">
        <v>107</v>
      </c>
      <c r="C38" s="41" t="s">
        <v>172</v>
      </c>
      <c r="D38" s="25"/>
      <c r="E38" s="25"/>
      <c r="F38" s="25"/>
      <c r="G38" s="25"/>
      <c r="H38" s="25"/>
      <c r="I38" s="25"/>
      <c r="J38" s="18">
        <v>45926</v>
      </c>
      <c r="K38" s="51">
        <v>46290</v>
      </c>
      <c r="L38" s="25"/>
      <c r="M38" s="25"/>
      <c r="N38" s="19">
        <f t="shared" ca="1" si="0"/>
        <v>0</v>
      </c>
      <c r="O38" s="48" t="str">
        <f t="shared" ca="1" si="1"/>
        <v>08/12</v>
      </c>
      <c r="P38" s="25"/>
      <c r="Q38" s="18">
        <v>45926</v>
      </c>
      <c r="R38" s="51">
        <v>46290</v>
      </c>
      <c r="S38" s="25"/>
      <c r="T38" s="25"/>
      <c r="U38" s="25"/>
      <c r="W38" s="21" t="s">
        <v>73</v>
      </c>
      <c r="X38" s="21" t="s">
        <v>74</v>
      </c>
      <c r="Y38" s="48" t="s">
        <v>74</v>
      </c>
      <c r="Z38" s="25"/>
      <c r="AA38" s="25"/>
      <c r="AB38" s="20" t="s">
        <v>74</v>
      </c>
      <c r="AC38" s="20" t="s">
        <v>144</v>
      </c>
      <c r="AE38" s="48" t="s">
        <v>139</v>
      </c>
      <c r="AF38" s="25"/>
      <c r="AG38" s="20">
        <f t="shared" si="2"/>
        <v>20</v>
      </c>
      <c r="AH38" s="51">
        <v>46626</v>
      </c>
      <c r="AI38" s="25"/>
      <c r="AJ38" s="48" t="s">
        <v>75</v>
      </c>
      <c r="AK38" s="25"/>
      <c r="AL38" s="48" t="s">
        <v>75</v>
      </c>
      <c r="AM38" s="25"/>
    </row>
    <row r="39" spans="1:39" ht="11" customHeight="1" x14ac:dyDescent="0.35">
      <c r="A39" s="17">
        <v>52</v>
      </c>
      <c r="B39" t="s">
        <v>107</v>
      </c>
      <c r="C39" s="41" t="s">
        <v>173</v>
      </c>
      <c r="D39" s="25"/>
      <c r="E39" s="25"/>
      <c r="F39" s="25"/>
      <c r="G39" s="25"/>
      <c r="H39" s="25"/>
      <c r="I39" s="25"/>
      <c r="J39" s="18">
        <v>43739</v>
      </c>
      <c r="K39" s="51">
        <v>46295</v>
      </c>
      <c r="L39" s="25"/>
      <c r="M39" s="25"/>
      <c r="N39" s="19">
        <f t="shared" ca="1" si="0"/>
        <v>0</v>
      </c>
      <c r="O39" s="48" t="str">
        <f t="shared" ca="1" si="1"/>
        <v>07/12</v>
      </c>
      <c r="P39" s="25"/>
      <c r="Q39" s="18">
        <v>45931</v>
      </c>
      <c r="R39" s="51">
        <v>46295</v>
      </c>
      <c r="S39" s="25"/>
      <c r="T39" s="25"/>
      <c r="U39" s="25"/>
      <c r="W39" s="21" t="s">
        <v>73</v>
      </c>
      <c r="X39" s="21" t="s">
        <v>74</v>
      </c>
      <c r="Y39" s="48" t="s">
        <v>74</v>
      </c>
      <c r="Z39" s="25"/>
      <c r="AA39" s="25"/>
      <c r="AB39" s="20" t="s">
        <v>74</v>
      </c>
      <c r="AC39" s="20" t="s">
        <v>144</v>
      </c>
      <c r="AE39" s="48" t="s">
        <v>139</v>
      </c>
      <c r="AF39" s="25"/>
      <c r="AG39" s="20">
        <f t="shared" si="2"/>
        <v>20</v>
      </c>
      <c r="AH39" s="51">
        <v>46631</v>
      </c>
      <c r="AI39" s="25"/>
      <c r="AJ39" s="48" t="s">
        <v>75</v>
      </c>
      <c r="AK39" s="25"/>
      <c r="AL39" s="48" t="s">
        <v>75</v>
      </c>
      <c r="AM39" s="25"/>
    </row>
    <row r="40" spans="1:39" ht="11" customHeight="1" x14ac:dyDescent="0.35">
      <c r="A40" s="17">
        <v>139</v>
      </c>
      <c r="B40" t="s">
        <v>107</v>
      </c>
      <c r="C40" s="41" t="s">
        <v>174</v>
      </c>
      <c r="D40" s="25"/>
      <c r="E40" s="25"/>
      <c r="F40" s="25"/>
      <c r="G40" s="25"/>
      <c r="H40" s="25"/>
      <c r="I40" s="25"/>
      <c r="J40" s="18">
        <v>45936</v>
      </c>
      <c r="K40" s="51">
        <v>46300</v>
      </c>
      <c r="L40" s="25"/>
      <c r="M40" s="25"/>
      <c r="N40" s="19">
        <f t="shared" ca="1" si="0"/>
        <v>0</v>
      </c>
      <c r="O40" s="48" t="str">
        <f t="shared" ca="1" si="1"/>
        <v>07/12</v>
      </c>
      <c r="P40" s="25"/>
      <c r="Q40" s="18">
        <v>45936</v>
      </c>
      <c r="R40" s="51">
        <v>46300</v>
      </c>
      <c r="S40" s="25"/>
      <c r="T40" s="25"/>
      <c r="U40" s="25"/>
      <c r="W40" s="21" t="s">
        <v>73</v>
      </c>
      <c r="X40" s="21" t="s">
        <v>74</v>
      </c>
      <c r="Y40" s="48" t="s">
        <v>74</v>
      </c>
      <c r="Z40" s="25"/>
      <c r="AA40" s="25"/>
      <c r="AB40" s="20" t="s">
        <v>74</v>
      </c>
      <c r="AC40" s="20" t="s">
        <v>144</v>
      </c>
      <c r="AE40" s="48" t="s">
        <v>139</v>
      </c>
      <c r="AF40" s="25"/>
      <c r="AG40" s="20">
        <f t="shared" si="2"/>
        <v>20</v>
      </c>
      <c r="AH40" s="51">
        <v>46636</v>
      </c>
      <c r="AI40" s="25"/>
      <c r="AJ40" s="48" t="s">
        <v>75</v>
      </c>
      <c r="AK40" s="25"/>
      <c r="AL40" s="48" t="s">
        <v>98</v>
      </c>
      <c r="AM40" s="25"/>
    </row>
    <row r="41" spans="1:39" ht="11" customHeight="1" x14ac:dyDescent="0.35">
      <c r="A41" s="17">
        <v>6</v>
      </c>
      <c r="B41" t="s">
        <v>107</v>
      </c>
      <c r="C41" s="41" t="s">
        <v>175</v>
      </c>
      <c r="D41" s="25"/>
      <c r="E41" s="25"/>
      <c r="F41" s="25"/>
      <c r="G41" s="25"/>
      <c r="H41" s="25"/>
      <c r="I41" s="25"/>
      <c r="J41" s="18">
        <v>42738</v>
      </c>
      <c r="K41" s="51">
        <v>46389</v>
      </c>
      <c r="L41" s="25"/>
      <c r="M41" s="25"/>
      <c r="N41" s="19">
        <f t="shared" ca="1" si="0"/>
        <v>0</v>
      </c>
      <c r="O41" s="48" t="str">
        <f t="shared" ca="1" si="1"/>
        <v>04/12</v>
      </c>
      <c r="P41" s="25"/>
      <c r="Q41" s="18">
        <v>46025</v>
      </c>
      <c r="R41" s="51">
        <v>46389</v>
      </c>
      <c r="S41" s="25"/>
      <c r="T41" s="25"/>
      <c r="U41" s="25"/>
      <c r="W41" s="21" t="s">
        <v>73</v>
      </c>
      <c r="X41" s="21" t="s">
        <v>74</v>
      </c>
      <c r="Y41" s="48" t="s">
        <v>74</v>
      </c>
      <c r="Z41" s="25"/>
      <c r="AA41" s="25"/>
      <c r="AB41" s="20" t="s">
        <v>74</v>
      </c>
      <c r="AC41" s="20" t="s">
        <v>176</v>
      </c>
      <c r="AE41" s="48" t="s">
        <v>139</v>
      </c>
      <c r="AF41" s="25"/>
      <c r="AG41" s="20">
        <f t="shared" si="2"/>
        <v>12.5</v>
      </c>
      <c r="AH41" s="51">
        <v>46725</v>
      </c>
      <c r="AI41" s="25"/>
      <c r="AJ41" s="48" t="s">
        <v>75</v>
      </c>
      <c r="AK41" s="25"/>
      <c r="AL41" s="48" t="s">
        <v>75</v>
      </c>
      <c r="AM41" s="25"/>
    </row>
    <row r="42" spans="1:39" ht="11" customHeight="1" x14ac:dyDescent="0.35">
      <c r="A42" s="17">
        <v>141</v>
      </c>
      <c r="B42" t="s">
        <v>107</v>
      </c>
      <c r="C42" s="41" t="s">
        <v>177</v>
      </c>
      <c r="D42" s="25"/>
      <c r="E42" s="25"/>
      <c r="F42" s="25"/>
      <c r="G42" s="25"/>
      <c r="H42" s="25"/>
      <c r="I42" s="25"/>
      <c r="J42" s="18">
        <v>46027</v>
      </c>
      <c r="K42" s="51">
        <v>46391</v>
      </c>
      <c r="L42" s="25"/>
      <c r="M42" s="25"/>
      <c r="N42" s="19">
        <f t="shared" ca="1" si="0"/>
        <v>0</v>
      </c>
      <c r="O42" s="48" t="str">
        <f t="shared" ca="1" si="1"/>
        <v>04/12</v>
      </c>
      <c r="P42" s="25"/>
      <c r="Q42" s="18">
        <v>46027</v>
      </c>
      <c r="R42" s="51">
        <v>46391</v>
      </c>
      <c r="S42" s="25"/>
      <c r="T42" s="25"/>
      <c r="U42" s="25"/>
      <c r="W42" s="21" t="s">
        <v>73</v>
      </c>
      <c r="X42" s="21" t="s">
        <v>74</v>
      </c>
      <c r="Y42" s="48" t="s">
        <v>74</v>
      </c>
      <c r="Z42" s="25"/>
      <c r="AA42" s="25"/>
      <c r="AB42" s="20" t="s">
        <v>74</v>
      </c>
      <c r="AC42" s="20" t="s">
        <v>176</v>
      </c>
      <c r="AE42" s="48" t="s">
        <v>139</v>
      </c>
      <c r="AF42" s="25"/>
      <c r="AG42" s="20">
        <f t="shared" si="2"/>
        <v>12.5</v>
      </c>
      <c r="AH42" s="51">
        <v>46727</v>
      </c>
      <c r="AI42" s="25"/>
      <c r="AJ42" s="48" t="s">
        <v>75</v>
      </c>
      <c r="AK42" s="25"/>
      <c r="AL42" s="48" t="s">
        <v>75</v>
      </c>
      <c r="AM42" s="25"/>
    </row>
    <row r="43" spans="1:39" ht="11" customHeight="1" x14ac:dyDescent="0.35">
      <c r="A43" s="17">
        <v>140</v>
      </c>
      <c r="B43" t="s">
        <v>107</v>
      </c>
      <c r="C43" s="41" t="s">
        <v>178</v>
      </c>
      <c r="D43" s="25"/>
      <c r="E43" s="25"/>
      <c r="F43" s="25"/>
      <c r="G43" s="25"/>
      <c r="H43" s="25"/>
      <c r="I43" s="25"/>
      <c r="J43" s="18">
        <v>46027</v>
      </c>
      <c r="K43" s="51">
        <v>46391</v>
      </c>
      <c r="L43" s="25"/>
      <c r="M43" s="25"/>
      <c r="N43" s="19">
        <f t="shared" ca="1" si="0"/>
        <v>0</v>
      </c>
      <c r="O43" s="48" t="str">
        <f t="shared" ca="1" si="1"/>
        <v>04/12</v>
      </c>
      <c r="P43" s="25"/>
      <c r="Q43" s="18">
        <v>46027</v>
      </c>
      <c r="R43" s="51">
        <v>46391</v>
      </c>
      <c r="S43" s="25"/>
      <c r="T43" s="25"/>
      <c r="U43" s="25"/>
      <c r="W43" s="21" t="s">
        <v>73</v>
      </c>
      <c r="X43" s="21" t="s">
        <v>74</v>
      </c>
      <c r="Y43" s="48" t="s">
        <v>74</v>
      </c>
      <c r="Z43" s="25"/>
      <c r="AA43" s="25"/>
      <c r="AB43" s="20" t="s">
        <v>74</v>
      </c>
      <c r="AC43" s="20" t="s">
        <v>176</v>
      </c>
      <c r="AE43" s="48" t="s">
        <v>139</v>
      </c>
      <c r="AF43" s="25"/>
      <c r="AG43" s="20">
        <f t="shared" si="2"/>
        <v>12.5</v>
      </c>
      <c r="AH43" s="51">
        <v>46727</v>
      </c>
      <c r="AI43" s="25"/>
      <c r="AJ43" s="48" t="s">
        <v>75</v>
      </c>
      <c r="AK43" s="25"/>
      <c r="AL43" s="48" t="s">
        <v>98</v>
      </c>
      <c r="AM43" s="25"/>
    </row>
    <row r="44" spans="1:39" ht="11" customHeight="1" x14ac:dyDescent="0.35">
      <c r="A44" s="17">
        <v>142</v>
      </c>
      <c r="B44" t="s">
        <v>107</v>
      </c>
      <c r="C44" s="41" t="s">
        <v>179</v>
      </c>
      <c r="D44" s="25"/>
      <c r="E44" s="25"/>
      <c r="F44" s="25"/>
      <c r="G44" s="25"/>
      <c r="H44" s="25"/>
      <c r="I44" s="25"/>
      <c r="J44" s="18">
        <v>46128</v>
      </c>
      <c r="K44" s="51">
        <v>46492</v>
      </c>
      <c r="L44" s="25"/>
      <c r="M44" s="25"/>
      <c r="N44" s="19">
        <f t="shared" ca="1" si="0"/>
        <v>0</v>
      </c>
      <c r="O44" s="48" t="str">
        <f t="shared" ca="1" si="1"/>
        <v>01/12</v>
      </c>
      <c r="P44" s="25"/>
      <c r="Q44" s="18">
        <v>46128</v>
      </c>
      <c r="R44" s="51">
        <v>46492</v>
      </c>
      <c r="S44" s="25"/>
      <c r="T44" s="25"/>
      <c r="U44" s="25"/>
      <c r="W44" s="21" t="s">
        <v>73</v>
      </c>
      <c r="X44" s="21" t="s">
        <v>74</v>
      </c>
      <c r="Y44" s="48" t="s">
        <v>74</v>
      </c>
      <c r="Z44" s="25"/>
      <c r="AA44" s="25"/>
      <c r="AB44" s="20" t="s">
        <v>74</v>
      </c>
      <c r="AC44" s="20" t="s">
        <v>156</v>
      </c>
      <c r="AE44" s="48" t="s">
        <v>139</v>
      </c>
      <c r="AF44" s="25"/>
      <c r="AG44" s="20">
        <f t="shared" si="2"/>
        <v>2.5</v>
      </c>
      <c r="AH44" s="51">
        <v>46829</v>
      </c>
      <c r="AI44" s="25"/>
      <c r="AJ44" s="48" t="s">
        <v>75</v>
      </c>
      <c r="AK44" s="25"/>
      <c r="AL44" s="48" t="s">
        <v>75</v>
      </c>
      <c r="AM44" s="25"/>
    </row>
    <row r="45" spans="1:39" ht="11" customHeight="1" x14ac:dyDescent="0.35">
      <c r="A45" s="17">
        <v>143</v>
      </c>
      <c r="B45" t="s">
        <v>107</v>
      </c>
      <c r="C45" s="41" t="s">
        <v>180</v>
      </c>
      <c r="D45" s="25"/>
      <c r="E45" s="25"/>
      <c r="F45" s="25"/>
      <c r="G45" s="25"/>
      <c r="H45" s="25"/>
      <c r="I45" s="25"/>
      <c r="J45" s="18">
        <v>46128</v>
      </c>
      <c r="K45" s="51">
        <v>46492</v>
      </c>
      <c r="L45" s="25"/>
      <c r="M45" s="25"/>
      <c r="N45" s="19">
        <f t="shared" ca="1" si="0"/>
        <v>0</v>
      </c>
      <c r="O45" s="48" t="str">
        <f t="shared" ca="1" si="1"/>
        <v>01/12</v>
      </c>
      <c r="P45" s="25"/>
      <c r="Q45" s="18">
        <v>46128</v>
      </c>
      <c r="R45" s="51">
        <v>46492</v>
      </c>
      <c r="S45" s="25"/>
      <c r="T45" s="25"/>
      <c r="U45" s="25"/>
      <c r="W45" s="21" t="s">
        <v>73</v>
      </c>
      <c r="X45" s="21" t="s">
        <v>74</v>
      </c>
      <c r="Y45" s="48" t="s">
        <v>74</v>
      </c>
      <c r="Z45" s="25"/>
      <c r="AA45" s="25"/>
      <c r="AB45" s="20" t="s">
        <v>74</v>
      </c>
      <c r="AC45" s="20" t="s">
        <v>156</v>
      </c>
      <c r="AE45" s="48" t="s">
        <v>139</v>
      </c>
      <c r="AF45" s="25"/>
      <c r="AG45" s="20">
        <f t="shared" si="2"/>
        <v>2.5</v>
      </c>
      <c r="AH45" s="51">
        <v>46829</v>
      </c>
      <c r="AI45" s="25"/>
      <c r="AJ45" s="48" t="s">
        <v>75</v>
      </c>
      <c r="AK45" s="25"/>
      <c r="AL45" s="48" t="s">
        <v>75</v>
      </c>
      <c r="AM45" s="25"/>
    </row>
    <row r="46" spans="1:39" ht="11" customHeight="1" x14ac:dyDescent="0.35">
      <c r="A46" s="17">
        <v>146</v>
      </c>
      <c r="B46" t="s">
        <v>107</v>
      </c>
      <c r="C46" s="41" t="s">
        <v>181</v>
      </c>
      <c r="D46" s="25"/>
      <c r="E46" s="25"/>
      <c r="F46" s="25"/>
      <c r="G46" s="25"/>
      <c r="H46" s="25"/>
      <c r="I46" s="25"/>
      <c r="J46" s="18">
        <v>46140</v>
      </c>
      <c r="K46" s="51">
        <v>46504</v>
      </c>
      <c r="L46" s="25"/>
      <c r="M46" s="25"/>
      <c r="N46" s="19">
        <f t="shared" ca="1" si="0"/>
        <v>0</v>
      </c>
      <c r="O46" s="48" t="str">
        <f t="shared" ca="1" si="1"/>
        <v>00/12</v>
      </c>
      <c r="P46" s="25"/>
      <c r="Q46" s="18">
        <v>46140</v>
      </c>
      <c r="R46" s="51">
        <v>46504</v>
      </c>
      <c r="S46" s="25"/>
      <c r="T46" s="25"/>
      <c r="U46" s="25"/>
      <c r="W46" s="21" t="s">
        <v>73</v>
      </c>
      <c r="X46" s="21" t="s">
        <v>74</v>
      </c>
      <c r="Y46" s="48" t="s">
        <v>74</v>
      </c>
      <c r="Z46" s="25"/>
      <c r="AA46" s="25"/>
      <c r="AB46" s="20" t="s">
        <v>74</v>
      </c>
      <c r="AC46" s="20" t="s">
        <v>156</v>
      </c>
      <c r="AE46" s="48" t="s">
        <v>139</v>
      </c>
      <c r="AF46" s="25"/>
      <c r="AG46" s="20">
        <f t="shared" si="2"/>
        <v>2.5</v>
      </c>
      <c r="AH46" s="51">
        <v>46841</v>
      </c>
      <c r="AI46" s="25"/>
      <c r="AJ46" s="48" t="s">
        <v>75</v>
      </c>
      <c r="AK46" s="25"/>
      <c r="AL46" s="48" t="s">
        <v>75</v>
      </c>
      <c r="AM46" s="25"/>
    </row>
    <row r="47" spans="1:39" ht="11" customHeight="1" x14ac:dyDescent="0.35">
      <c r="A47" s="17">
        <v>144</v>
      </c>
      <c r="B47" t="s">
        <v>107</v>
      </c>
      <c r="C47" s="41" t="s">
        <v>182</v>
      </c>
      <c r="D47" s="25"/>
      <c r="E47" s="25"/>
      <c r="F47" s="25"/>
      <c r="G47" s="25"/>
      <c r="H47" s="25"/>
      <c r="I47" s="25"/>
      <c r="J47" s="18">
        <v>46140</v>
      </c>
      <c r="K47" s="51">
        <v>46504</v>
      </c>
      <c r="L47" s="25"/>
      <c r="M47" s="25"/>
      <c r="N47" s="19">
        <f t="shared" ca="1" si="0"/>
        <v>0</v>
      </c>
      <c r="O47" s="48" t="str">
        <f t="shared" ca="1" si="1"/>
        <v>00/12</v>
      </c>
      <c r="P47" s="25"/>
      <c r="Q47" s="18">
        <v>46140</v>
      </c>
      <c r="R47" s="51">
        <v>46504</v>
      </c>
      <c r="S47" s="25"/>
      <c r="T47" s="25"/>
      <c r="U47" s="25"/>
      <c r="W47" s="21" t="s">
        <v>73</v>
      </c>
      <c r="X47" s="21" t="s">
        <v>74</v>
      </c>
      <c r="Y47" s="48" t="s">
        <v>74</v>
      </c>
      <c r="Z47" s="25"/>
      <c r="AA47" s="25"/>
      <c r="AB47" s="20" t="s">
        <v>74</v>
      </c>
      <c r="AC47" s="20" t="s">
        <v>156</v>
      </c>
      <c r="AE47" s="48" t="s">
        <v>139</v>
      </c>
      <c r="AF47" s="25"/>
      <c r="AG47" s="20">
        <f t="shared" si="2"/>
        <v>2.5</v>
      </c>
      <c r="AH47" s="51">
        <v>46841</v>
      </c>
      <c r="AI47" s="25"/>
      <c r="AJ47" s="48" t="s">
        <v>75</v>
      </c>
      <c r="AK47" s="25"/>
      <c r="AL47" s="48" t="s">
        <v>75</v>
      </c>
      <c r="AM47" s="25"/>
    </row>
    <row r="48" spans="1:39" ht="11" customHeight="1" x14ac:dyDescent="0.35">
      <c r="A48" s="17">
        <v>145</v>
      </c>
      <c r="B48" t="s">
        <v>107</v>
      </c>
      <c r="C48" s="41" t="s">
        <v>183</v>
      </c>
      <c r="D48" s="25"/>
      <c r="E48" s="25"/>
      <c r="F48" s="25"/>
      <c r="G48" s="25"/>
      <c r="H48" s="25"/>
      <c r="I48" s="25"/>
      <c r="J48" s="18">
        <v>46140</v>
      </c>
      <c r="K48" s="51">
        <v>46504</v>
      </c>
      <c r="L48" s="25"/>
      <c r="M48" s="25"/>
      <c r="N48" s="19">
        <f t="shared" ca="1" si="0"/>
        <v>0</v>
      </c>
      <c r="O48" s="48" t="str">
        <f t="shared" ca="1" si="1"/>
        <v>00/12</v>
      </c>
      <c r="P48" s="25"/>
      <c r="Q48" s="18">
        <v>46140</v>
      </c>
      <c r="R48" s="51">
        <v>46504</v>
      </c>
      <c r="S48" s="25"/>
      <c r="T48" s="25"/>
      <c r="U48" s="25"/>
      <c r="W48" s="21" t="s">
        <v>73</v>
      </c>
      <c r="X48" s="21" t="s">
        <v>74</v>
      </c>
      <c r="Y48" s="48" t="s">
        <v>74</v>
      </c>
      <c r="Z48" s="25"/>
      <c r="AA48" s="25"/>
      <c r="AB48" s="20" t="s">
        <v>74</v>
      </c>
      <c r="AC48" s="20" t="s">
        <v>156</v>
      </c>
      <c r="AE48" s="48" t="s">
        <v>139</v>
      </c>
      <c r="AF48" s="25"/>
      <c r="AG48" s="20">
        <f t="shared" si="2"/>
        <v>2.5</v>
      </c>
      <c r="AH48" s="51">
        <v>46841</v>
      </c>
      <c r="AI48" s="25"/>
      <c r="AJ48" s="48" t="s">
        <v>75</v>
      </c>
      <c r="AK48" s="25"/>
      <c r="AL48" s="48" t="s">
        <v>75</v>
      </c>
      <c r="AM48" s="25"/>
    </row>
    <row r="49" spans="1:39" ht="12.5" customHeight="1" x14ac:dyDescent="0.35">
      <c r="AF49" s="46"/>
      <c r="AG49" s="25"/>
      <c r="AH49" s="25"/>
      <c r="AI49" s="25"/>
      <c r="AJ49" s="25"/>
      <c r="AK49" s="45"/>
      <c r="AL49" s="25"/>
      <c r="AM49" s="25"/>
    </row>
    <row r="50" spans="1:39" ht="14" customHeight="1" x14ac:dyDescent="0.35">
      <c r="A50" s="46"/>
      <c r="B50" s="25"/>
      <c r="C50" s="25"/>
      <c r="D50" s="25"/>
      <c r="F50" s="4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 spans="1:39" ht="15.75" customHeight="1" x14ac:dyDescent="0.35">
      <c r="A51" s="41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</sheetData>
  <mergeCells count="371">
    <mergeCell ref="C28:I28"/>
    <mergeCell ref="F50:AL50"/>
    <mergeCell ref="AE43:AF43"/>
    <mergeCell ref="O32:P32"/>
    <mergeCell ref="O26:P26"/>
    <mergeCell ref="C30:I30"/>
    <mergeCell ref="AL37:AM37"/>
    <mergeCell ref="AL12:AM12"/>
    <mergeCell ref="AH48:AI48"/>
    <mergeCell ref="R13:U13"/>
    <mergeCell ref="O40:P40"/>
    <mergeCell ref="K34:M34"/>
    <mergeCell ref="AL14:AM14"/>
    <mergeCell ref="AE34:AF34"/>
    <mergeCell ref="AL27:AM27"/>
    <mergeCell ref="C18:I18"/>
    <mergeCell ref="AL46:AM46"/>
    <mergeCell ref="AL34:AM34"/>
    <mergeCell ref="AJ43:AK43"/>
    <mergeCell ref="K46:M46"/>
    <mergeCell ref="AH47:AI47"/>
    <mergeCell ref="AJ47:AK47"/>
    <mergeCell ref="K44:M44"/>
    <mergeCell ref="K31:M31"/>
    <mergeCell ref="AJ40:AK40"/>
    <mergeCell ref="AJ27:AK27"/>
    <mergeCell ref="AE31:AF31"/>
    <mergeCell ref="O45:P45"/>
    <mergeCell ref="R33:U33"/>
    <mergeCell ref="Y46:AA46"/>
    <mergeCell ref="R31:U31"/>
    <mergeCell ref="AJ41:AK41"/>
    <mergeCell ref="AE41:AF41"/>
    <mergeCell ref="AJ42:AK42"/>
    <mergeCell ref="Y40:AA40"/>
    <mergeCell ref="Y48:AA48"/>
    <mergeCell ref="R10:U10"/>
    <mergeCell ref="Y41:AA41"/>
    <mergeCell ref="C29:I29"/>
    <mergeCell ref="AJ45:AK45"/>
    <mergeCell ref="Y43:AA43"/>
    <mergeCell ref="C44:I44"/>
    <mergeCell ref="AJ20:AK20"/>
    <mergeCell ref="AL20:AM20"/>
    <mergeCell ref="AL38:AM38"/>
    <mergeCell ref="AH22:AI22"/>
    <mergeCell ref="AJ22:AK22"/>
    <mergeCell ref="AL22:AM22"/>
    <mergeCell ref="AL40:AM40"/>
    <mergeCell ref="AL15:AM15"/>
    <mergeCell ref="AL33:AM33"/>
    <mergeCell ref="AL43:AM43"/>
    <mergeCell ref="AL35:AM35"/>
    <mergeCell ref="AL30:AM30"/>
    <mergeCell ref="K36:M36"/>
    <mergeCell ref="AH45:AI45"/>
    <mergeCell ref="AH32:AI32"/>
    <mergeCell ref="AJ32:AK32"/>
    <mergeCell ref="AE11:AF11"/>
    <mergeCell ref="A1:K1"/>
    <mergeCell ref="Y25:AA25"/>
    <mergeCell ref="R23:U23"/>
    <mergeCell ref="R6:V6"/>
    <mergeCell ref="K39:M39"/>
    <mergeCell ref="C24:I24"/>
    <mergeCell ref="AJ48:AK48"/>
    <mergeCell ref="AE39:AF39"/>
    <mergeCell ref="C26:I26"/>
    <mergeCell ref="AJ33:AK33"/>
    <mergeCell ref="O46:P46"/>
    <mergeCell ref="R34:U34"/>
    <mergeCell ref="Y38:AA38"/>
    <mergeCell ref="AJ35:AK35"/>
    <mergeCell ref="O48:P48"/>
    <mergeCell ref="A5:W5"/>
    <mergeCell ref="R36:U36"/>
    <mergeCell ref="C39:I39"/>
    <mergeCell ref="O10:P10"/>
    <mergeCell ref="AJ46:AK46"/>
    <mergeCell ref="C37:I37"/>
    <mergeCell ref="R29:U29"/>
    <mergeCell ref="AD7:AF7"/>
    <mergeCell ref="Y33:AA33"/>
    <mergeCell ref="AE8:AF8"/>
    <mergeCell ref="AJ2:AM2"/>
    <mergeCell ref="C45:I45"/>
    <mergeCell ref="O16:P16"/>
    <mergeCell ref="K10:M10"/>
    <mergeCell ref="A3:C3"/>
    <mergeCell ref="N4:T4"/>
    <mergeCell ref="R45:U45"/>
    <mergeCell ref="AJ3:AM3"/>
    <mergeCell ref="AL13:AM13"/>
    <mergeCell ref="AJ15:AK15"/>
    <mergeCell ref="AH30:AI30"/>
    <mergeCell ref="R37:U37"/>
    <mergeCell ref="AL8:AM8"/>
    <mergeCell ref="K20:M20"/>
    <mergeCell ref="AE45:AF45"/>
    <mergeCell ref="Y39:AA39"/>
    <mergeCell ref="Y44:AA44"/>
    <mergeCell ref="AH34:AI34"/>
    <mergeCell ref="R8:U8"/>
    <mergeCell ref="Y37:AA37"/>
    <mergeCell ref="AL25:AM25"/>
    <mergeCell ref="C34:I34"/>
    <mergeCell ref="Y12:AA12"/>
    <mergeCell ref="M6:N6"/>
    <mergeCell ref="AH15:AI15"/>
    <mergeCell ref="K37:M37"/>
    <mergeCell ref="AK49:AM49"/>
    <mergeCell ref="AH6:AI6"/>
    <mergeCell ref="AJ6:AK6"/>
    <mergeCell ref="AE10:AF10"/>
    <mergeCell ref="C47:I47"/>
    <mergeCell ref="C40:I40"/>
    <mergeCell ref="R21:U21"/>
    <mergeCell ref="R32:U32"/>
    <mergeCell ref="Y20:AA20"/>
    <mergeCell ref="Y14:AA14"/>
    <mergeCell ref="C8:I8"/>
    <mergeCell ref="AH24:AI24"/>
    <mergeCell ref="AH18:AI18"/>
    <mergeCell ref="Y22:AA22"/>
    <mergeCell ref="K8:M8"/>
    <mergeCell ref="AH17:AI17"/>
    <mergeCell ref="AJ17:AK17"/>
    <mergeCell ref="AE21:AF21"/>
    <mergeCell ref="AH19:AI19"/>
    <mergeCell ref="AJ19:AK19"/>
    <mergeCell ref="AE23:AF23"/>
    <mergeCell ref="AF49:AJ49"/>
    <mergeCell ref="AH14:AI14"/>
    <mergeCell ref="Y17:AA17"/>
    <mergeCell ref="AJ14:AK14"/>
    <mergeCell ref="AJ7:AK7"/>
    <mergeCell ref="O20:P20"/>
    <mergeCell ref="AL7:AM7"/>
    <mergeCell ref="AH43:AI43"/>
    <mergeCell ref="O22:P22"/>
    <mergeCell ref="AE29:AF29"/>
    <mergeCell ref="AH27:AI27"/>
    <mergeCell ref="O47:P47"/>
    <mergeCell ref="AE37:AF37"/>
    <mergeCell ref="AE24:AF24"/>
    <mergeCell ref="AH25:AI25"/>
    <mergeCell ref="AJ25:AK25"/>
    <mergeCell ref="O38:P38"/>
    <mergeCell ref="R42:U42"/>
    <mergeCell ref="AE26:AF26"/>
    <mergeCell ref="R17:U17"/>
    <mergeCell ref="O33:P33"/>
    <mergeCell ref="R46:U46"/>
    <mergeCell ref="Y34:AA34"/>
    <mergeCell ref="R48:U48"/>
    <mergeCell ref="A51:R51"/>
    <mergeCell ref="AL10:AM10"/>
    <mergeCell ref="K32:M32"/>
    <mergeCell ref="AE32:AF32"/>
    <mergeCell ref="AH33:AI33"/>
    <mergeCell ref="AJ1:AM1"/>
    <mergeCell ref="AE47:AF47"/>
    <mergeCell ref="AH35:AI35"/>
    <mergeCell ref="D2:H2"/>
    <mergeCell ref="Y13:AA13"/>
    <mergeCell ref="AJ28:AK28"/>
    <mergeCell ref="O41:P41"/>
    <mergeCell ref="AL28:AM28"/>
    <mergeCell ref="O35:P35"/>
    <mergeCell ref="C14:I14"/>
    <mergeCell ref="AL21:AM21"/>
    <mergeCell ref="AJ30:AK30"/>
    <mergeCell ref="O43:P43"/>
    <mergeCell ref="Y8:AA8"/>
    <mergeCell ref="AH46:AI46"/>
    <mergeCell ref="K16:M16"/>
    <mergeCell ref="AL23:AM23"/>
    <mergeCell ref="K45:M45"/>
    <mergeCell ref="AH41:AI41"/>
    <mergeCell ref="T1:W1"/>
    <mergeCell ref="K47:M47"/>
    <mergeCell ref="K22:M22"/>
    <mergeCell ref="AE22:AF22"/>
    <mergeCell ref="AE46:AF46"/>
    <mergeCell ref="R18:U18"/>
    <mergeCell ref="O29:P29"/>
    <mergeCell ref="Y28:AA28"/>
    <mergeCell ref="O44:P44"/>
    <mergeCell ref="O31:P31"/>
    <mergeCell ref="R19:U19"/>
    <mergeCell ref="K6:L6"/>
    <mergeCell ref="V3:Z3"/>
    <mergeCell ref="AE35:AF35"/>
    <mergeCell ref="Y47:AA47"/>
    <mergeCell ref="Y9:AA9"/>
    <mergeCell ref="R47:U47"/>
    <mergeCell ref="Y35:AA35"/>
    <mergeCell ref="AD6:AF6"/>
    <mergeCell ref="Y10:AA10"/>
    <mergeCell ref="K24:M24"/>
    <mergeCell ref="K26:M26"/>
    <mergeCell ref="K42:M42"/>
    <mergeCell ref="AE42:AF42"/>
    <mergeCell ref="AE48:AF48"/>
    <mergeCell ref="AH36:AI36"/>
    <mergeCell ref="AH11:AI11"/>
    <mergeCell ref="AJ36:AK36"/>
    <mergeCell ref="K33:M33"/>
    <mergeCell ref="C22:I22"/>
    <mergeCell ref="AJ29:AK29"/>
    <mergeCell ref="Y45:AA45"/>
    <mergeCell ref="K48:M48"/>
    <mergeCell ref="AE27:AF27"/>
    <mergeCell ref="AH28:AI28"/>
    <mergeCell ref="AE20:AF20"/>
    <mergeCell ref="AH21:AI21"/>
    <mergeCell ref="AJ21:AK21"/>
    <mergeCell ref="AE25:AF25"/>
    <mergeCell ref="Y19:AA19"/>
    <mergeCell ref="O28:P28"/>
    <mergeCell ref="O34:P34"/>
    <mergeCell ref="C32:I32"/>
    <mergeCell ref="C46:I46"/>
    <mergeCell ref="AH37:AI37"/>
    <mergeCell ref="AH12:AI12"/>
    <mergeCell ref="AJ12:AK12"/>
    <mergeCell ref="C48:I48"/>
    <mergeCell ref="Z7:AA7"/>
    <mergeCell ref="AL26:AM26"/>
    <mergeCell ref="C33:I33"/>
    <mergeCell ref="C35:I35"/>
    <mergeCell ref="C10:I10"/>
    <mergeCell ref="Y42:AA42"/>
    <mergeCell ref="AL42:AM42"/>
    <mergeCell ref="AL17:AM17"/>
    <mergeCell ref="R27:U27"/>
    <mergeCell ref="Y15:AA15"/>
    <mergeCell ref="AL19:AM19"/>
    <mergeCell ref="R20:U20"/>
    <mergeCell ref="K41:M41"/>
    <mergeCell ref="AH39:AI39"/>
    <mergeCell ref="R25:U25"/>
    <mergeCell ref="Y24:AA24"/>
    <mergeCell ref="C12:I12"/>
    <mergeCell ref="AH9:AI9"/>
    <mergeCell ref="AJ34:AK34"/>
    <mergeCell ref="Y32:AA32"/>
    <mergeCell ref="Y23:AA23"/>
    <mergeCell ref="C20:I20"/>
    <mergeCell ref="C16:I16"/>
    <mergeCell ref="C7:F7"/>
    <mergeCell ref="AH8:AI8"/>
    <mergeCell ref="AJ8:AK8"/>
    <mergeCell ref="AE12:AF12"/>
    <mergeCell ref="K14:M14"/>
    <mergeCell ref="AH10:AI10"/>
    <mergeCell ref="AJ10:AK10"/>
    <mergeCell ref="AE14:AF14"/>
    <mergeCell ref="C42:I42"/>
    <mergeCell ref="AL29:AM29"/>
    <mergeCell ref="K35:M35"/>
    <mergeCell ref="AJ31:AK31"/>
    <mergeCell ref="AL31:AM31"/>
    <mergeCell ref="C38:I38"/>
    <mergeCell ref="AH38:AI38"/>
    <mergeCell ref="AJ38:AK38"/>
    <mergeCell ref="Y36:AA36"/>
    <mergeCell ref="AJ13:AK13"/>
    <mergeCell ref="AH40:AI40"/>
    <mergeCell ref="R16:U16"/>
    <mergeCell ref="K18:M18"/>
    <mergeCell ref="AL39:AM39"/>
    <mergeCell ref="K40:M40"/>
    <mergeCell ref="Y26:AA26"/>
    <mergeCell ref="AL36:AM36"/>
    <mergeCell ref="R9:U9"/>
    <mergeCell ref="AL45:AM45"/>
    <mergeCell ref="AL32:AM32"/>
    <mergeCell ref="R11:U11"/>
    <mergeCell ref="R38:U38"/>
    <mergeCell ref="R41:U41"/>
    <mergeCell ref="Y29:AA29"/>
    <mergeCell ref="R43:U43"/>
    <mergeCell ref="K12:M12"/>
    <mergeCell ref="Y31:AA31"/>
    <mergeCell ref="AJ44:AK44"/>
    <mergeCell ref="AL44:AM44"/>
    <mergeCell ref="AE44:AF44"/>
    <mergeCell ref="R44:U44"/>
    <mergeCell ref="AE33:AF33"/>
    <mergeCell ref="AE9:AF9"/>
    <mergeCell ref="AE36:AF36"/>
    <mergeCell ref="K29:M29"/>
    <mergeCell ref="R24:U24"/>
    <mergeCell ref="R26:U26"/>
    <mergeCell ref="AH16:AI16"/>
    <mergeCell ref="AJ16:AK16"/>
    <mergeCell ref="Y11:AA11"/>
    <mergeCell ref="AL47:AM47"/>
    <mergeCell ref="R40:U40"/>
    <mergeCell ref="R15:U15"/>
    <mergeCell ref="C41:I41"/>
    <mergeCell ref="O12:P12"/>
    <mergeCell ref="L7:N7"/>
    <mergeCell ref="A50:D50"/>
    <mergeCell ref="AH7:AI7"/>
    <mergeCell ref="C43:I43"/>
    <mergeCell ref="O14:P14"/>
    <mergeCell ref="R35:U35"/>
    <mergeCell ref="C36:I36"/>
    <mergeCell ref="R7:V7"/>
    <mergeCell ref="AH20:AI20"/>
    <mergeCell ref="R28:U28"/>
    <mergeCell ref="AE17:AF17"/>
    <mergeCell ref="R30:U30"/>
    <mergeCell ref="AE19:AF19"/>
    <mergeCell ref="O8:P8"/>
    <mergeCell ref="C31:I31"/>
    <mergeCell ref="R12:U12"/>
    <mergeCell ref="AL48:AM48"/>
    <mergeCell ref="Y30:AA30"/>
    <mergeCell ref="AH13:AI13"/>
    <mergeCell ref="A2:C2"/>
    <mergeCell ref="AJ23:AK23"/>
    <mergeCell ref="O36:P36"/>
    <mergeCell ref="O30:P30"/>
    <mergeCell ref="AL41:AM41"/>
    <mergeCell ref="AL16:AM16"/>
    <mergeCell ref="AJ18:AK18"/>
    <mergeCell ref="K38:M38"/>
    <mergeCell ref="AL18:AM18"/>
    <mergeCell ref="AE38:AF38"/>
    <mergeCell ref="AE13:AF13"/>
    <mergeCell ref="AE40:AF40"/>
    <mergeCell ref="AE15:AF15"/>
    <mergeCell ref="AJ9:AK9"/>
    <mergeCell ref="Y21:AA21"/>
    <mergeCell ref="AL9:AM9"/>
    <mergeCell ref="AL6:AM6"/>
    <mergeCell ref="AJ11:AK11"/>
    <mergeCell ref="O24:P24"/>
    <mergeCell ref="AL11:AM11"/>
    <mergeCell ref="O18:P18"/>
    <mergeCell ref="Y16:AA16"/>
    <mergeCell ref="D3:G3"/>
    <mergeCell ref="R22:U22"/>
    <mergeCell ref="R14:U14"/>
    <mergeCell ref="AH29:AI29"/>
    <mergeCell ref="Y27:AA27"/>
    <mergeCell ref="Y18:AA18"/>
    <mergeCell ref="AH44:AI44"/>
    <mergeCell ref="AH31:AI31"/>
    <mergeCell ref="K28:M28"/>
    <mergeCell ref="AH23:AI23"/>
    <mergeCell ref="O39:P39"/>
    <mergeCell ref="AE16:AF16"/>
    <mergeCell ref="K43:M43"/>
    <mergeCell ref="AE18:AF18"/>
    <mergeCell ref="AJ37:AK37"/>
    <mergeCell ref="AJ24:AK24"/>
    <mergeCell ref="AE28:AF28"/>
    <mergeCell ref="AL24:AM24"/>
    <mergeCell ref="O42:P42"/>
    <mergeCell ref="K30:M30"/>
    <mergeCell ref="AH26:AI26"/>
    <mergeCell ref="AJ26:AK26"/>
    <mergeCell ref="AE30:AF30"/>
    <mergeCell ref="O37:P37"/>
    <mergeCell ref="AH42:AI42"/>
    <mergeCell ref="R39:U39"/>
    <mergeCell ref="AJ39:AK39"/>
  </mergeCells>
  <pageMargins left="0.75" right="0.74791666666666701" top="1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Resumo</vt:lpstr>
      <vt:lpstr>AMP Comercio</vt:lpstr>
      <vt:lpstr>Torque Master</vt:lpstr>
      <vt:lpstr>Auto 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daianefinanceiro.amp@gmail.com</cp:lastModifiedBy>
  <dcterms:created xsi:type="dcterms:W3CDTF">2026-05-26T18:27:20Z</dcterms:created>
  <dcterms:modified xsi:type="dcterms:W3CDTF">2026-05-27T18:40:03Z</dcterms:modified>
</cp:coreProperties>
</file>